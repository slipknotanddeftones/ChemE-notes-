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sign Inputs" sheetId="1" state="visible" r:id="rId3"/>
    <sheet name="Calculations" sheetId="2" state="visible" r:id="rId4"/>
    <sheet name="Multi-Component Analysis" sheetId="3" state="visible" r:id="rId5"/>
    <sheet name="Stage Profile" sheetId="4" state="visible" r:id="rId6"/>
    <sheet name="Stream Table" sheetId="5" state="visible" r:id="rId7"/>
    <sheet name="Design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<sst xmlns="http://schemas.openxmlformats.org/spreadsheetml/2006/main" count="352" uniqueCount="236">
  <si>
    <t xml:space="preserve">LIQUID-LIQUID EXTRACTION COLUMN — DESIGN SUMMARY</t>
  </si>
  <si>
    <t xml:space="preserve">Feed: Aqueous MAA stream  |  Solvent: n-Butyl Acetate  |  Target: ≥97% MAA Recovery  |  Column Type: Pulsed Sieve-Plate</t>
  </si>
  <si>
    <t xml:space="preserve">FEED COMPOSITION</t>
  </si>
  <si>
    <t xml:space="preserve">Component</t>
  </si>
  <si>
    <t xml:space="preserve">mol%</t>
  </si>
  <si>
    <t xml:space="preserve">kmol/h</t>
  </si>
  <si>
    <t xml:space="preserve">kg/h</t>
  </si>
  <si>
    <t xml:space="preserve">MAA (Methacrylic acid)</t>
  </si>
  <si>
    <t xml:space="preserve">Methacrolein (MAC)</t>
  </si>
  <si>
    <t xml:space="preserve">Acrylic acid</t>
  </si>
  <si>
    <t xml:space="preserve">Acetic acid</t>
  </si>
  <si>
    <t xml:space="preserve">Water</t>
  </si>
  <si>
    <t xml:space="preserve">Total</t>
  </si>
  <si>
    <t xml:space="preserve">UNIFAC DISTRIBUTION COEFFICIENTS  K_D (organic / aqueous)</t>
  </si>
  <si>
    <t xml:space="preserve">K_D (UNIFAC)</t>
  </si>
  <si>
    <t xml:space="preserve">Affinity</t>
  </si>
  <si>
    <t xml:space="preserve">Role</t>
  </si>
  <si>
    <t xml:space="preserve">High</t>
  </si>
  <si>
    <t xml:space="preserve">Primary target</t>
  </si>
  <si>
    <t xml:space="preserve">Very high</t>
  </si>
  <si>
    <t xml:space="preserve">Co-extracted</t>
  </si>
  <si>
    <t xml:space="preserve">Low</t>
  </si>
  <si>
    <t xml:space="preserve">Stays in raffinate</t>
  </si>
  <si>
    <t xml:space="preserve">Moderate</t>
  </si>
  <si>
    <t xml:space="preserve">Partial co-extraction</t>
  </si>
  <si>
    <t xml:space="preserve">Significant co-extraction</t>
  </si>
  <si>
    <t xml:space="preserve">n-Butyl Acetate</t>
  </si>
  <si>
    <t xml:space="preserve">Solvent</t>
  </si>
  <si>
    <t xml:space="preserve">Stays in organic phase</t>
  </si>
  <si>
    <t xml:space="preserve">DESIGN BASIS &amp; KEY ASSUMPTIONS</t>
  </si>
  <si>
    <t xml:space="preserve">Parameter</t>
  </si>
  <si>
    <t xml:space="preserve">Value</t>
  </si>
  <si>
    <t xml:space="preserve">Basis/Source</t>
  </si>
  <si>
    <t xml:space="preserve">Target MAA recovery</t>
  </si>
  <si>
    <t xml:space="preserve">97%</t>
  </si>
  <si>
    <t xml:space="preserve">Kremser equation basis</t>
  </si>
  <si>
    <t xml:space="preserve">Stage efficiency  E_o</t>
  </si>
  <si>
    <t xml:space="preserve">45%</t>
  </si>
  <si>
    <t xml:space="preserve">Pulsed column, MAA/n-BuAc system</t>
  </si>
  <si>
    <t xml:space="preserve">Flooding velocity  u_flood</t>
  </si>
  <si>
    <t xml:space="preserve">0.018 m/s</t>
  </si>
  <si>
    <t xml:space="preserve">Thornton correlation</t>
  </si>
  <si>
    <t xml:space="preserve">Design velocity (% flood)</t>
  </si>
  <si>
    <t xml:space="preserve">60%</t>
  </si>
  <si>
    <t xml:space="preserve">Standard design margin</t>
  </si>
  <si>
    <t xml:space="preserve">Plate spacing</t>
  </si>
  <si>
    <t xml:space="preserve">50 mm</t>
  </si>
  <si>
    <t xml:space="preserve">Standard pulsed column</t>
  </si>
  <si>
    <t xml:space="preserve">HETS</t>
  </si>
  <si>
    <t xml:space="preserve">0.25 m</t>
  </si>
  <si>
    <t xml:space="preserve">Literature, pulsed column</t>
  </si>
  <si>
    <t xml:space="preserve">Interfacial tension σ</t>
  </si>
  <si>
    <t xml:space="preserve">14 mN/m</t>
  </si>
  <si>
    <t xml:space="preserve">n-BuAc/water pair</t>
  </si>
  <si>
    <t xml:space="preserve">Feed density  ρ_aq</t>
  </si>
  <si>
    <t xml:space="preserve">1.013 kg/L</t>
  </si>
  <si>
    <t xml:space="preserve">Weighted average</t>
  </si>
  <si>
    <t xml:space="preserve">Solvent density  ρ_org</t>
  </si>
  <si>
    <t xml:space="preserve">0.882 kg/L</t>
  </si>
  <si>
    <t xml:space="preserve">n-BuAc at 25 °C</t>
  </si>
  <si>
    <t xml:space="preserve">Safety factor on S/F</t>
  </si>
  <si>
    <t xml:space="preserve">1.5×</t>
  </si>
  <si>
    <t xml:space="preserve">Accounts for equilibrium uncertainty</t>
  </si>
  <si>
    <t xml:space="preserve">EXTRACTION COLUMN — STEP-BY-STEP CALCULATIONS</t>
  </si>
  <si>
    <t xml:space="preserve">STEP 1 — VOLUMETRIC FLOW RATES</t>
  </si>
  <si>
    <t xml:space="preserve">Unit</t>
  </si>
  <si>
    <t xml:space="preserve">Formula / Note</t>
  </si>
  <si>
    <t xml:space="preserve">Feed mass flow  ṁ_F</t>
  </si>
  <si>
    <t xml:space="preserve">From Design Inputs sheet</t>
  </si>
  <si>
    <t xml:space="preserve">Aqueous density  ρ_aq</t>
  </si>
  <si>
    <t xml:space="preserve">kg/m³</t>
  </si>
  <si>
    <t xml:space="preserve">Weighted average mixture</t>
  </si>
  <si>
    <t xml:space="preserve">Feed volumetric flow  Q_F</t>
  </si>
  <si>
    <t xml:space="preserve">m³/s</t>
  </si>
  <si>
    <t xml:space="preserve">Q_F = feed mass / (density × 3600)</t>
  </si>
  <si>
    <t xml:space="preserve">S/F mass ratio</t>
  </si>
  <si>
    <t xml:space="preserve">–</t>
  </si>
  <si>
    <t xml:space="preserve">Design basis: 1.5 × S_min; S_min=1/K_D(MAA)</t>
  </si>
  <si>
    <t xml:space="preserve">Solvent mass flow  ṁ_S</t>
  </si>
  <si>
    <t xml:space="preserve">Solvent mass = feed mass × S/F ratio</t>
  </si>
  <si>
    <t xml:space="preserve">n-Butyl Acetate at 25 °C</t>
  </si>
  <si>
    <t xml:space="preserve">Solvent volumetric flow  Q_S</t>
  </si>
  <si>
    <t xml:space="preserve">Q_S = solvent mass / (density × 3600)</t>
  </si>
  <si>
    <t xml:space="preserve">Total volumetric flow  Q_T</t>
  </si>
  <si>
    <t xml:space="preserve">Total flow = Q_F + Q_S</t>
  </si>
  <si>
    <t xml:space="preserve">STEP 2 — COLUMN DIAMETER</t>
  </si>
  <si>
    <t xml:space="preserve">m/s</t>
  </si>
  <si>
    <t xml:space="preserve">Thornton correlation, n-BuAc/water, σ=14 mN/m</t>
  </si>
  <si>
    <t xml:space="preserve">Design fraction of flooding</t>
  </si>
  <si>
    <t xml:space="preserve">60% of u_flood — standard design margin</t>
  </si>
  <si>
    <t xml:space="preserve">Design velocity  u_design</t>
  </si>
  <si>
    <t xml:space="preserve">u_design = u_flood × 0.60</t>
  </si>
  <si>
    <t xml:space="preserve">Required cross-section  A</t>
  </si>
  <si>
    <t xml:space="preserve">m²</t>
  </si>
  <si>
    <t xml:space="preserve">A = Q_total / u_design</t>
  </si>
  <si>
    <t xml:space="preserve">Calculated diameter</t>
  </si>
  <si>
    <t xml:space="preserve">m</t>
  </si>
  <si>
    <t xml:space="preserve">D = sqrt(4A / pi)</t>
  </si>
  <si>
    <t xml:space="preserve">Selected column I.D.</t>
  </si>
  <si>
    <t xml:space="preserve">Rounded up to nearest standard shell (0.50 m)</t>
  </si>
  <si>
    <t xml:space="preserve">STEP 3 — KREMSER ANALYSIS (MAA, GOVERNING COMPONENT)</t>
  </si>
  <si>
    <t xml:space="preserve">K_D (MAA, UNIFAC)</t>
  </si>
  <si>
    <t xml:space="preserve">Source: UNIFAC simulation</t>
  </si>
  <si>
    <t xml:space="preserve">S/F ratio</t>
  </si>
  <si>
    <t xml:space="preserve">S/F ratio from Step 1 (cell C9)</t>
  </si>
  <si>
    <t xml:space="preserve">Extraction factor  E = K_D·(S/F)</t>
  </si>
  <si>
    <t xml:space="preserve">E = K_D × S/F; must be &gt; 1 for feasible extraction</t>
  </si>
  <si>
    <t xml:space="preserve">Target fractional recovery  f</t>
  </si>
  <si>
    <t xml:space="preserve">Design specification (97%)</t>
  </si>
  <si>
    <t xml:space="preserve">Theoretical stages  N_th (Kremser)</t>
  </si>
  <si>
    <t xml:space="preserve">Kremser: ln[(1-1/E)*(1/(1-f))+1/E] / ln(E)</t>
  </si>
  <si>
    <t xml:space="preserve">Overall stage efficiency  E_o</t>
  </si>
  <si>
    <t xml:space="preserve">Typical pulsed column, MAA/n-BuAc system</t>
  </si>
  <si>
    <t xml:space="preserve">Actual stages (continuous)</t>
  </si>
  <si>
    <t xml:space="preserve">N_act = N_th / Stage efficiency</t>
  </si>
  <si>
    <t xml:space="preserve">Actual plates (rounded up)</t>
  </si>
  <si>
    <t xml:space="preserve">Round up to whole number of plates</t>
  </si>
  <si>
    <t xml:space="preserve">STEP 4 — COLUMN HEIGHT</t>
  </si>
  <si>
    <t xml:space="preserve">HETS (Height Equiv. Theor. Stage)</t>
  </si>
  <si>
    <t xml:space="preserve">Literature pulsed column; to be verified pilot-scale</t>
  </si>
  <si>
    <t xml:space="preserve">Active height  H_active</t>
  </si>
  <si>
    <t xml:space="preserve">H_active = N_th × HETS</t>
  </si>
  <si>
    <t xml:space="preserve">Top settler allowance</t>
  </si>
  <si>
    <t xml:space="preserve">Organic phase disengagement</t>
  </si>
  <si>
    <t xml:space="preserve">Bottom settler allowance</t>
  </si>
  <si>
    <t xml:space="preserve">Aqueous phase disengagement</t>
  </si>
  <si>
    <t xml:space="preserve">Nozzle / pulse-leg allowance</t>
  </si>
  <si>
    <t xml:space="preserve">Inlet/outlet piping</t>
  </si>
  <si>
    <t xml:space="preserve">Total column height  H_total</t>
  </si>
  <si>
    <t xml:space="preserve">H_total = H_active + top + bottom + nozzles</t>
  </si>
  <si>
    <t xml:space="preserve">H/D ratio</t>
  </si>
  <si>
    <t xml:space="preserve">H/D = H_total / D; acceptable range 5-20 for pulsed columns</t>
  </si>
  <si>
    <t xml:space="preserve">MULTI-COMPONENT KREMSER ANALYSIS — ALL COMPONENTS</t>
  </si>
  <si>
    <t xml:space="preserve">S/F ratio and actual plate count driven by MAA (governing component, lowest K_D among targets). N_act plates = 14.</t>
  </si>
  <si>
    <t xml:space="preserve">Feed (kg/h)</t>
  </si>
  <si>
    <t xml:space="preserve">E = K_D·(S/F)</t>
  </si>
  <si>
    <t xml:space="preserve">N_th for 97% recovery</t>
  </si>
  <si>
    <t xml:space="preserve">Actual stages needed</t>
  </si>
  <si>
    <t xml:space="preserve">Recovery at N=14 (%)</t>
  </si>
  <si>
    <t xml:space="preserve">Extracted (kg/h)</t>
  </si>
  <si>
    <t xml:space="preserve">N/A (E&lt;1, infeasible)</t>
  </si>
  <si>
    <t xml:space="preserve">N/A</t>
  </si>
  <si>
    <t xml:space="preserve">⚠  Acrylic acid (K_D=2.5) and Methacrolein (K_D=15) co-extract significantly. Downstream MAA/acrylic acid separation will require azeotropic or extractive distillation.</t>
  </si>
  <si>
    <t xml:space="preserve">MAA STAGE-BY-STAGE EXTRACTION PROFILE</t>
  </si>
  <si>
    <t xml:space="preserve">Aqueous MAA concentration (as fraction of feed) after each of 14 actual stages. E(MAA) = K_D × S/F = 8 × 0.188 = 1.504</t>
  </si>
  <si>
    <t xml:space="preserve">Stage (Actual)</t>
  </si>
  <si>
    <t xml:space="preserve">Aq. MAA remaining (fraction)</t>
  </si>
  <si>
    <t xml:space="preserve">Aq. MAA remaining (%)</t>
  </si>
  <si>
    <t xml:space="preserve">MAA extracted (cumulative %)</t>
  </si>
  <si>
    <t xml:space="preserve">Feed (Stage 0)</t>
  </si>
  <si>
    <t xml:space="preserve">Stage 1</t>
  </si>
  <si>
    <t xml:space="preserve">Stage 2</t>
  </si>
  <si>
    <t xml:space="preserve">Stage 3</t>
  </si>
  <si>
    <t xml:space="preserve">Stage 4</t>
  </si>
  <si>
    <t xml:space="preserve">Stage 5</t>
  </si>
  <si>
    <t xml:space="preserve">Stage 6</t>
  </si>
  <si>
    <t xml:space="preserve">Stage 7</t>
  </si>
  <si>
    <t xml:space="preserve">Stage 8</t>
  </si>
  <si>
    <t xml:space="preserve">Stage 9</t>
  </si>
  <si>
    <t xml:space="preserve">Stage 10</t>
  </si>
  <si>
    <t xml:space="preserve">Stage 11</t>
  </si>
  <si>
    <t xml:space="preserve">Stage 12</t>
  </si>
  <si>
    <t xml:space="preserve">Stage 13</t>
  </si>
  <si>
    <t xml:space="preserve">Stage 14</t>
  </si>
  <si>
    <t xml:space="preserve">Final recovery</t>
  </si>
  <si>
    <t xml:space="preserve">EXTRACTION COLUMN — STREAM TABLE</t>
  </si>
  <si>
    <t xml:space="preserve">All flow rates in kg/h. Compositions in wt%. Vol. flows in m³/h.</t>
  </si>
  <si>
    <t xml:space="preserve">Feed (Aqueous)</t>
  </si>
  <si>
    <t xml:space="preserve">Solvent In
(n-BuAc)</t>
  </si>
  <si>
    <t xml:space="preserve">Extract
(Organic out)</t>
  </si>
  <si>
    <t xml:space="preserve">Raffinate
(Aqueous out)</t>
  </si>
  <si>
    <t xml:space="preserve">n-Butyl Acetate (solvent)</t>
  </si>
  <si>
    <t xml:space="preserve">Total mass flow (kg/h)</t>
  </si>
  <si>
    <t xml:space="preserve">Mass balance check  (Feed + Solvent) − (Extract + Raffinate)</t>
  </si>
  <si>
    <t xml:space="preserve">should = 0</t>
  </si>
  <si>
    <t xml:space="preserve">VOLUMETRIC FLOW RATES</t>
  </si>
  <si>
    <t xml:space="preserve">Stream</t>
  </si>
  <si>
    <t xml:space="preserve">Mass flow (kg/h)</t>
  </si>
  <si>
    <t xml:space="preserve">Density (kg/L)</t>
  </si>
  <si>
    <t xml:space="preserve">Vol. flow (m³/h)</t>
  </si>
  <si>
    <t xml:space="preserve">Vol. flow (L/s)</t>
  </si>
  <si>
    <t xml:space="preserve">Feed (aqueous)</t>
  </si>
  <si>
    <t xml:space="preserve">Solvent in (n-BuAc)</t>
  </si>
  <si>
    <t xml:space="preserve">Extract (organic out)</t>
  </si>
  <si>
    <t xml:space="preserve">Raffinate (aqueous out)</t>
  </si>
  <si>
    <t xml:space="preserve">STREAM COMPOSITIONS  (wt %)</t>
  </si>
  <si>
    <t xml:space="preserve">Feed wt%</t>
  </si>
  <si>
    <t xml:space="preserve">Solvent In wt%</t>
  </si>
  <si>
    <t xml:space="preserve">Extract wt%</t>
  </si>
  <si>
    <t xml:space="preserve">Raffinate wt%</t>
  </si>
  <si>
    <t xml:space="preserve">RECOVERY SUMMARY</t>
  </si>
  <si>
    <t xml:space="preserve">K_D</t>
  </si>
  <si>
    <t xml:space="preserve">In raffinate (kg/h)</t>
  </si>
  <si>
    <t xml:space="preserve">Recovery (%)</t>
  </si>
  <si>
    <t xml:space="preserve">nba</t>
  </si>
  <si>
    <t xml:space="preserve">Note: Extract composition assumes equilibrium extraction per Kremser model with N_eff = N_act × E_o = 14 × 0.45 = 6.3 theoretical stages. n-BuAc solubility in raffinate (~0.7 wt%) neglected.</t>
  </si>
  <si>
    <t xml:space="preserve">EXTRACTION COLUMN — FINAL DESIGN SUMMARY</t>
  </si>
  <si>
    <t xml:space="preserve">COLUMN GEOMETRY</t>
  </si>
  <si>
    <t xml:space="preserve">Column type</t>
  </si>
  <si>
    <t xml:space="preserve">Pulsed sieve-plate LLE column</t>
  </si>
  <si>
    <t xml:space="preserve">Column internal diameter</t>
  </si>
  <si>
    <t xml:space="preserve">Total column height</t>
  </si>
  <si>
    <t xml:space="preserve">Number of actual plates</t>
  </si>
  <si>
    <t xml:space="preserve">50</t>
  </si>
  <si>
    <t xml:space="preserve">mm</t>
  </si>
  <si>
    <t xml:space="preserve">Plate free area</t>
  </si>
  <si>
    <t xml:space="preserve">20–23%</t>
  </si>
  <si>
    <t xml:space="preserve">Hole diameter</t>
  </si>
  <si>
    <t xml:space="preserve">3</t>
  </si>
  <si>
    <t xml:space="preserve">Material of construction</t>
  </si>
  <si>
    <t xml:space="preserve">SS 316L</t>
  </si>
  <si>
    <t xml:space="preserve">PROCESS CONDITIONS</t>
  </si>
  <si>
    <t xml:space="preserve">Feed mass flow</t>
  </si>
  <si>
    <t xml:space="preserve">Solvent (n-BuAc) flow</t>
  </si>
  <si>
    <t xml:space="preserve">Extraction factor E (MAA)</t>
  </si>
  <si>
    <t xml:space="preserve">Theoretical stages N_th</t>
  </si>
  <si>
    <t xml:space="preserve">Actual plates N_act</t>
  </si>
  <si>
    <t xml:space="preserve">Stage efficiency E_o</t>
  </si>
  <si>
    <t xml:space="preserve">MAA recovery</t>
  </si>
  <si>
    <t xml:space="preserve">fraction</t>
  </si>
  <si>
    <t xml:space="preserve">Pulse amplitude A</t>
  </si>
  <si>
    <t xml:space="preserve">8–12</t>
  </si>
  <si>
    <t xml:space="preserve">Pulse frequency f</t>
  </si>
  <si>
    <t xml:space="preserve">1.0–1.5</t>
  </si>
  <si>
    <t xml:space="preserve">Hz</t>
  </si>
  <si>
    <t xml:space="preserve">Dispersed phase</t>
  </si>
  <si>
    <t xml:space="preserve">Organic (n-BuAc)</t>
  </si>
  <si>
    <t xml:space="preserve">COLOUR LEGEND</t>
  </si>
  <si>
    <t xml:space="preserve">Blue text</t>
  </si>
  <si>
    <t xml:space="preserve">Hardcoded input value — user may change for sensitivity studies</t>
  </si>
  <si>
    <t xml:space="preserve">Black text</t>
  </si>
  <si>
    <t xml:space="preserve">Calculated formula — do not overwrite</t>
  </si>
  <si>
    <t xml:space="preserve">Amber highlight</t>
  </si>
  <si>
    <t xml:space="preserve">Warning: high co-extraction or assumption requiring verification</t>
  </si>
  <si>
    <t xml:space="preserve">Volume of the column</t>
  </si>
  <si>
    <t xml:space="preserve">m3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</si>
</sst>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#,##0"/>
    <numFmt numFmtId="167" formatCode="#,##0.000000"/>
    <numFmt numFmtId="168" formatCode="#,##0.000"/>
    <numFmt numFmtId="169" formatCode="#,##0.0"/>
    <numFmt numFmtId="170" formatCode="0.0%"/>
    <numFmt numFmtId="171" formatCode="0.0000"/>
    <numFmt numFmtId="172" formatCode="0.00"/>
    <numFmt numFmtId="173" formatCode="0.000"/>
    <numFmt numFmtId="174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0F6E5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00"/>
      <name val="Calibri"/>
      <family val="2"/>
      <charset val="1"/>
    </font>
    <font>
      <b val="true"/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F6E5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BA7517"/>
      <name val="Arial"/>
      <family val="0"/>
      <charset val="1"/>
    </font>
    <font>
      <i val="true"/>
      <sz val="10"/>
      <color rgb="FFBA7517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i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1F5EE"/>
        <bgColor rgb="FFF3FBF8"/>
      </patternFill>
    </fill>
    <fill>
      <patternFill patternType="solid">
        <fgColor rgb="FF1D9E75"/>
        <bgColor rgb="FF008080"/>
      </patternFill>
    </fill>
    <fill>
      <patternFill patternType="solid">
        <fgColor rgb="FFFFFFFF"/>
        <bgColor rgb="FFF3FBF8"/>
      </patternFill>
    </fill>
    <fill>
      <patternFill patternType="solid">
        <fgColor rgb="FFF3FBF8"/>
        <bgColor rgb="FFFFFFFF"/>
      </patternFill>
    </fill>
    <fill>
      <patternFill patternType="solid">
        <fgColor rgb="FFFFF3CD"/>
        <bgColor rgb="FFF3FB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4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14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F6E56"/>
      <rgbColor rgb="FFCCCCCC"/>
      <rgbColor rgb="FF808080"/>
      <rgbColor rgb="FF9999FF"/>
      <rgbColor rgb="FF993366"/>
      <rgbColor rgb="FFFFF3CD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B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4"/>
  <sheetViews>
    <sheetView showFormulas="false" showGridLines="fals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B5" activeCellId="0" sqref="B4:F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4"/>
  </cols>
  <sheetData>
    <row r="1" customFormat="false" ht="21.75" hidden="false" customHeight="true" outlineLevel="0" collapsed="false">
      <c r="B1" s="2" t="s">
        <v>0</v>
      </c>
      <c r="C1" s="2"/>
      <c r="D1" s="2"/>
      <c r="E1" s="2"/>
    </row>
    <row r="2" customFormat="false" ht="21.75" hidden="false" customHeight="true" outlineLevel="0" collapsed="false">
      <c r="B2" s="2"/>
      <c r="C2" s="2"/>
      <c r="D2" s="2"/>
      <c r="E2" s="2"/>
    </row>
    <row r="3" customFormat="false" ht="15.75" hidden="false" customHeight="true" outlineLevel="0" collapsed="false">
      <c r="B3" s="3" t="s">
        <v>1</v>
      </c>
      <c r="C3" s="3"/>
      <c r="D3" s="3"/>
      <c r="E3" s="3"/>
    </row>
    <row r="4" customFormat="false" ht="6" hidden="false" customHeight="true" outlineLevel="0" collapsed="false"/>
    <row r="5" customFormat="false" ht="18" hidden="false" customHeight="true" outlineLevel="0" collapsed="false">
      <c r="B5" s="4" t="s">
        <v>2</v>
      </c>
      <c r="C5" s="4"/>
      <c r="D5" s="4"/>
      <c r="E5" s="4"/>
    </row>
    <row r="6" customFormat="false" ht="1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</row>
    <row r="7" customFormat="false" ht="15" hidden="false" customHeight="true" outlineLevel="0" collapsed="false">
      <c r="B7" s="6" t="s">
        <v>7</v>
      </c>
      <c r="C7" s="7" t="n">
        <v>10.55</v>
      </c>
      <c r="D7" s="7" t="n">
        <v>24.7</v>
      </c>
      <c r="E7" s="8" t="n">
        <v>2124</v>
      </c>
    </row>
    <row r="8" customFormat="false" ht="15" hidden="false" customHeight="true" outlineLevel="0" collapsed="false">
      <c r="B8" s="9" t="s">
        <v>8</v>
      </c>
      <c r="C8" s="10" t="n">
        <v>0.07</v>
      </c>
      <c r="D8" s="10" t="n">
        <v>0.17</v>
      </c>
      <c r="E8" s="11" t="n">
        <v>12</v>
      </c>
    </row>
    <row r="9" customFormat="false" ht="15" hidden="false" customHeight="true" outlineLevel="0" collapsed="false">
      <c r="B9" s="6" t="s">
        <v>9</v>
      </c>
      <c r="C9" s="7" t="n">
        <v>0.14</v>
      </c>
      <c r="D9" s="7" t="n">
        <v>0.32</v>
      </c>
      <c r="E9" s="8" t="n">
        <v>23</v>
      </c>
    </row>
    <row r="10" customFormat="false" ht="15" hidden="false" customHeight="true" outlineLevel="0" collapsed="false">
      <c r="B10" s="9" t="s">
        <v>10</v>
      </c>
      <c r="C10" s="10" t="n">
        <v>1.43</v>
      </c>
      <c r="D10" s="10" t="n">
        <v>3.36</v>
      </c>
      <c r="E10" s="11" t="n">
        <v>201</v>
      </c>
    </row>
    <row r="11" customFormat="false" ht="15" hidden="false" customHeight="true" outlineLevel="0" collapsed="false">
      <c r="B11" s="6" t="s">
        <v>11</v>
      </c>
      <c r="C11" s="7" t="n">
        <v>87.81</v>
      </c>
      <c r="D11" s="7" t="n">
        <v>205.64</v>
      </c>
      <c r="E11" s="8" t="n">
        <v>3701</v>
      </c>
    </row>
    <row r="12" customFormat="false" ht="15" hidden="false" customHeight="true" outlineLevel="0" collapsed="false">
      <c r="B12" s="12" t="s">
        <v>12</v>
      </c>
      <c r="C12" s="13" t="n">
        <f aca="false">SUM(C7:C11)</f>
        <v>100</v>
      </c>
      <c r="D12" s="13" t="n">
        <f aca="false">SUM(D7:D11)</f>
        <v>234.19</v>
      </c>
      <c r="E12" s="13" t="n">
        <f aca="false">SUM(E7:E11)</f>
        <v>6061</v>
      </c>
    </row>
    <row r="13" customFormat="false" ht="6" hidden="false" customHeight="true" outlineLevel="0" collapsed="false"/>
    <row r="14" customFormat="false" ht="18" hidden="false" customHeight="true" outlineLevel="0" collapsed="false">
      <c r="B14" s="4" t="s">
        <v>13</v>
      </c>
      <c r="C14" s="4"/>
      <c r="D14" s="4"/>
      <c r="E14" s="4"/>
    </row>
    <row r="15" customFormat="false" ht="15" hidden="false" customHeight="true" outlineLevel="0" collapsed="false">
      <c r="B15" s="5" t="s">
        <v>3</v>
      </c>
      <c r="C15" s="5" t="s">
        <v>14</v>
      </c>
      <c r="D15" s="5" t="s">
        <v>15</v>
      </c>
      <c r="E15" s="5" t="s">
        <v>16</v>
      </c>
    </row>
    <row r="16" customFormat="false" ht="15" hidden="false" customHeight="true" outlineLevel="0" collapsed="false">
      <c r="B16" s="6" t="s">
        <v>7</v>
      </c>
      <c r="C16" s="14" t="n">
        <v>8</v>
      </c>
      <c r="D16" s="15" t="s">
        <v>17</v>
      </c>
      <c r="E16" s="15" t="s">
        <v>18</v>
      </c>
    </row>
    <row r="17" customFormat="false" ht="15" hidden="false" customHeight="true" outlineLevel="0" collapsed="false">
      <c r="B17" s="9" t="s">
        <v>8</v>
      </c>
      <c r="C17" s="16" t="n">
        <v>15</v>
      </c>
      <c r="D17" s="17" t="s">
        <v>19</v>
      </c>
      <c r="E17" s="17" t="s">
        <v>20</v>
      </c>
    </row>
    <row r="18" customFormat="false" ht="15" hidden="false" customHeight="true" outlineLevel="0" collapsed="false">
      <c r="B18" s="6" t="s">
        <v>11</v>
      </c>
      <c r="C18" s="14" t="n">
        <v>0.35</v>
      </c>
      <c r="D18" s="15" t="s">
        <v>21</v>
      </c>
      <c r="E18" s="15" t="s">
        <v>22</v>
      </c>
    </row>
    <row r="19" customFormat="false" ht="15" hidden="false" customHeight="true" outlineLevel="0" collapsed="false">
      <c r="B19" s="9" t="s">
        <v>10</v>
      </c>
      <c r="C19" s="16" t="n">
        <v>1</v>
      </c>
      <c r="D19" s="17" t="s">
        <v>23</v>
      </c>
      <c r="E19" s="17" t="s">
        <v>24</v>
      </c>
    </row>
    <row r="20" customFormat="false" ht="15" hidden="false" customHeight="true" outlineLevel="0" collapsed="false">
      <c r="B20" s="6" t="s">
        <v>9</v>
      </c>
      <c r="C20" s="14" t="n">
        <v>2.5</v>
      </c>
      <c r="D20" s="15" t="s">
        <v>23</v>
      </c>
      <c r="E20" s="15" t="s">
        <v>25</v>
      </c>
    </row>
    <row r="21" customFormat="false" ht="15" hidden="false" customHeight="true" outlineLevel="0" collapsed="false">
      <c r="B21" s="9" t="s">
        <v>26</v>
      </c>
      <c r="C21" s="16" t="n">
        <v>850</v>
      </c>
      <c r="D21" s="17" t="s">
        <v>27</v>
      </c>
      <c r="E21" s="17" t="s">
        <v>28</v>
      </c>
    </row>
    <row r="22" customFormat="false" ht="6" hidden="false" customHeight="true" outlineLevel="0" collapsed="false"/>
    <row r="23" customFormat="false" ht="18" hidden="false" customHeight="true" outlineLevel="0" collapsed="false">
      <c r="B23" s="4" t="s">
        <v>29</v>
      </c>
      <c r="C23" s="4"/>
      <c r="D23" s="4"/>
      <c r="E23" s="4"/>
    </row>
    <row r="24" customFormat="false" ht="15" hidden="false" customHeight="true" outlineLevel="0" collapsed="false">
      <c r="B24" s="5" t="s">
        <v>30</v>
      </c>
      <c r="C24" s="5" t="s">
        <v>31</v>
      </c>
      <c r="E24" s="5" t="s">
        <v>32</v>
      </c>
    </row>
    <row r="25" customFormat="false" ht="15" hidden="false" customHeight="true" outlineLevel="0" collapsed="false">
      <c r="B25" s="6" t="s">
        <v>33</v>
      </c>
      <c r="C25" s="18" t="s">
        <v>34</v>
      </c>
      <c r="D25" s="19" t="s">
        <v>35</v>
      </c>
      <c r="E25" s="19"/>
    </row>
    <row r="26" customFormat="false" ht="15" hidden="false" customHeight="true" outlineLevel="0" collapsed="false">
      <c r="B26" s="9" t="s">
        <v>36</v>
      </c>
      <c r="C26" s="20" t="s">
        <v>37</v>
      </c>
      <c r="D26" s="21" t="s">
        <v>38</v>
      </c>
      <c r="E26" s="21"/>
    </row>
    <row r="27" customFormat="false" ht="15" hidden="false" customHeight="true" outlineLevel="0" collapsed="false">
      <c r="B27" s="6" t="s">
        <v>39</v>
      </c>
      <c r="C27" s="18" t="s">
        <v>40</v>
      </c>
      <c r="D27" s="19" t="s">
        <v>41</v>
      </c>
      <c r="E27" s="19"/>
    </row>
    <row r="28" customFormat="false" ht="15" hidden="false" customHeight="true" outlineLevel="0" collapsed="false">
      <c r="B28" s="9" t="s">
        <v>42</v>
      </c>
      <c r="C28" s="20" t="s">
        <v>43</v>
      </c>
      <c r="D28" s="21" t="s">
        <v>44</v>
      </c>
      <c r="E28" s="21"/>
    </row>
    <row r="29" customFormat="false" ht="15" hidden="false" customHeight="true" outlineLevel="0" collapsed="false">
      <c r="B29" s="6" t="s">
        <v>45</v>
      </c>
      <c r="C29" s="18" t="s">
        <v>46</v>
      </c>
      <c r="D29" s="19" t="s">
        <v>47</v>
      </c>
      <c r="E29" s="19"/>
    </row>
    <row r="30" customFormat="false" ht="15" hidden="false" customHeight="true" outlineLevel="0" collapsed="false">
      <c r="B30" s="9" t="s">
        <v>48</v>
      </c>
      <c r="C30" s="20" t="s">
        <v>49</v>
      </c>
      <c r="D30" s="21" t="s">
        <v>50</v>
      </c>
      <c r="E30" s="21"/>
    </row>
    <row r="31" customFormat="false" ht="15" hidden="false" customHeight="true" outlineLevel="0" collapsed="false">
      <c r="B31" s="6" t="s">
        <v>51</v>
      </c>
      <c r="C31" s="18" t="s">
        <v>52</v>
      </c>
      <c r="D31" s="19" t="s">
        <v>53</v>
      </c>
      <c r="E31" s="19"/>
    </row>
    <row r="32" customFormat="false" ht="15" hidden="false" customHeight="true" outlineLevel="0" collapsed="false">
      <c r="B32" s="9" t="s">
        <v>54</v>
      </c>
      <c r="C32" s="20" t="s">
        <v>55</v>
      </c>
      <c r="D32" s="21" t="s">
        <v>56</v>
      </c>
      <c r="E32" s="21"/>
    </row>
    <row r="33" customFormat="false" ht="15" hidden="false" customHeight="true" outlineLevel="0" collapsed="false">
      <c r="B33" s="6" t="s">
        <v>57</v>
      </c>
      <c r="C33" s="18" t="s">
        <v>58</v>
      </c>
      <c r="D33" s="19" t="s">
        <v>59</v>
      </c>
      <c r="E33" s="19"/>
    </row>
    <row r="34" customFormat="false" ht="15" hidden="false" customHeight="true" outlineLevel="0" collapsed="false">
      <c r="B34" s="9" t="s">
        <v>60</v>
      </c>
      <c r="C34" s="20" t="s">
        <v>61</v>
      </c>
      <c r="D34" s="21" t="s">
        <v>62</v>
      </c>
      <c r="E34" s="21"/>
    </row>
  </sheetData>
  <mergeCells count="15">
    <mergeCell ref="B1:E2"/>
    <mergeCell ref="B3:E3"/>
    <mergeCell ref="B5:E5"/>
    <mergeCell ref="B14:E14"/>
    <mergeCell ref="B23:E23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3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E10" activeCellId="0" sqref="B4:F11"/>
    </sheetView>
  </sheetViews>
  <sheetFormatPr defaultColWidth="8.6796875" defaultRowHeight="15" zeroHeight="false" outlineLevelRow="0" outlineLevelCol="0"/>
  <cols>
    <col collapsed="false" customWidth="true" hidden="false" outlineLevel="0" max="1" min="1" style="22" width="4"/>
    <col collapsed="false" customWidth="true" hidden="false" outlineLevel="0" max="2" min="2" style="22" width="36"/>
    <col collapsed="false" customWidth="true" hidden="false" outlineLevel="0" max="4" min="3" style="22" width="22"/>
    <col collapsed="false" customWidth="true" hidden="false" outlineLevel="0" max="5" min="5" style="22" width="42.29"/>
    <col collapsed="false" customWidth="true" hidden="false" outlineLevel="0" max="6" min="6" style="22" width="4"/>
    <col collapsed="false" customWidth="false" hidden="false" outlineLevel="0" max="7" min="7" style="22" width="8.68"/>
    <col collapsed="false" customWidth="true" hidden="false" outlineLevel="0" max="8" min="8" style="22" width="13.91"/>
    <col collapsed="false" customWidth="false" hidden="false" outlineLevel="0" max="16384" min="9" style="22" width="8.68"/>
  </cols>
  <sheetData>
    <row r="1" customFormat="false" ht="21.75" hidden="false" customHeight="true" outlineLevel="0" collapsed="false">
      <c r="B1" s="23" t="s">
        <v>63</v>
      </c>
      <c r="C1" s="23"/>
      <c r="D1" s="23"/>
      <c r="E1" s="23"/>
    </row>
    <row r="2" customFormat="false" ht="21.75" hidden="false" customHeight="true" outlineLevel="0" collapsed="false">
      <c r="B2" s="23"/>
      <c r="C2" s="23"/>
      <c r="D2" s="23"/>
      <c r="E2" s="23"/>
    </row>
    <row r="3" customFormat="false" ht="6" hidden="false" customHeight="true" outlineLevel="0" collapsed="false"/>
    <row r="4" customFormat="false" ht="18" hidden="false" customHeight="true" outlineLevel="0" collapsed="false">
      <c r="B4" s="24" t="s">
        <v>64</v>
      </c>
      <c r="C4" s="24"/>
      <c r="D4" s="24"/>
      <c r="E4" s="24"/>
      <c r="H4" s="25"/>
    </row>
    <row r="5" customFormat="false" ht="15" hidden="false" customHeight="true" outlineLevel="0" collapsed="false">
      <c r="B5" s="26" t="s">
        <v>30</v>
      </c>
      <c r="C5" s="26" t="s">
        <v>31</v>
      </c>
      <c r="D5" s="26" t="s">
        <v>65</v>
      </c>
      <c r="E5" s="26" t="s">
        <v>66</v>
      </c>
      <c r="H5" s="25"/>
    </row>
    <row r="6" customFormat="false" ht="15" hidden="false" customHeight="true" outlineLevel="0" collapsed="false">
      <c r="B6" s="27" t="s">
        <v>67</v>
      </c>
      <c r="C6" s="28" t="n">
        <f aca="false">'Design Inputs'!E12</f>
        <v>6061</v>
      </c>
      <c r="D6" s="29" t="s">
        <v>6</v>
      </c>
      <c r="E6" s="27" t="s">
        <v>68</v>
      </c>
      <c r="H6" s="25"/>
    </row>
    <row r="7" customFormat="false" ht="15" hidden="false" customHeight="true" outlineLevel="0" collapsed="false">
      <c r="B7" s="27" t="s">
        <v>69</v>
      </c>
      <c r="C7" s="28" t="n">
        <v>1013</v>
      </c>
      <c r="D7" s="29" t="s">
        <v>70</v>
      </c>
      <c r="E7" s="27" t="s">
        <v>71</v>
      </c>
      <c r="H7" s="25"/>
    </row>
    <row r="8" customFormat="false" ht="15" hidden="false" customHeight="true" outlineLevel="0" collapsed="false">
      <c r="B8" s="27" t="s">
        <v>72</v>
      </c>
      <c r="C8" s="28" t="n">
        <f aca="false">C6/(C7*3600)</f>
        <v>0.00166200504551936</v>
      </c>
      <c r="D8" s="29" t="s">
        <v>73</v>
      </c>
      <c r="E8" s="27" t="s">
        <v>74</v>
      </c>
    </row>
    <row r="9" customFormat="false" ht="15" hidden="false" customHeight="true" outlineLevel="0" collapsed="false">
      <c r="B9" s="27" t="s">
        <v>75</v>
      </c>
      <c r="C9" s="28" t="n">
        <f aca="false">2.2*1.5</f>
        <v>3.3</v>
      </c>
      <c r="D9" s="29" t="s">
        <v>76</v>
      </c>
      <c r="E9" s="27" t="s">
        <v>77</v>
      </c>
    </row>
    <row r="10" customFormat="false" ht="15" hidden="false" customHeight="true" outlineLevel="0" collapsed="false">
      <c r="B10" s="27" t="s">
        <v>78</v>
      </c>
      <c r="C10" s="28" t="n">
        <f aca="false">C6*C9</f>
        <v>20001.3</v>
      </c>
      <c r="D10" s="29" t="s">
        <v>6</v>
      </c>
      <c r="E10" s="27" t="s">
        <v>79</v>
      </c>
    </row>
    <row r="11" customFormat="false" ht="15" hidden="false" customHeight="true" outlineLevel="0" collapsed="false">
      <c r="B11" s="27" t="s">
        <v>57</v>
      </c>
      <c r="C11" s="28" t="n">
        <v>882</v>
      </c>
      <c r="D11" s="29" t="s">
        <v>70</v>
      </c>
      <c r="E11" s="27" t="s">
        <v>80</v>
      </c>
    </row>
    <row r="12" customFormat="false" ht="15" hidden="false" customHeight="true" outlineLevel="0" collapsed="false">
      <c r="B12" s="27" t="s">
        <v>81</v>
      </c>
      <c r="C12" s="28" t="n">
        <f aca="false">C10/(C11*3600)</f>
        <v>0.00629922524565382</v>
      </c>
      <c r="D12" s="29" t="s">
        <v>73</v>
      </c>
      <c r="E12" s="27" t="s">
        <v>82</v>
      </c>
      <c r="H12" s="25"/>
    </row>
    <row r="13" customFormat="false" ht="15" hidden="false" customHeight="true" outlineLevel="0" collapsed="false">
      <c r="B13" s="27" t="s">
        <v>83</v>
      </c>
      <c r="C13" s="28" t="n">
        <f aca="false">C8+C12</f>
        <v>0.00796123029117318</v>
      </c>
      <c r="D13" s="29" t="s">
        <v>73</v>
      </c>
      <c r="E13" s="27" t="s">
        <v>84</v>
      </c>
    </row>
    <row r="14" customFormat="false" ht="6" hidden="false" customHeight="true" outlineLevel="0" collapsed="false"/>
    <row r="15" customFormat="false" ht="18" hidden="false" customHeight="true" outlineLevel="0" collapsed="false">
      <c r="B15" s="24" t="s">
        <v>85</v>
      </c>
      <c r="C15" s="24"/>
      <c r="D15" s="24"/>
      <c r="E15" s="24"/>
    </row>
    <row r="16" customFormat="false" ht="15" hidden="false" customHeight="true" outlineLevel="0" collapsed="false">
      <c r="B16" s="26" t="s">
        <v>30</v>
      </c>
      <c r="C16" s="26" t="s">
        <v>31</v>
      </c>
      <c r="D16" s="26" t="s">
        <v>65</v>
      </c>
      <c r="E16" s="26" t="s">
        <v>66</v>
      </c>
    </row>
    <row r="17" customFormat="false" ht="15" hidden="false" customHeight="true" outlineLevel="0" collapsed="false">
      <c r="B17" s="27" t="s">
        <v>39</v>
      </c>
      <c r="C17" s="30" t="n">
        <v>0.018</v>
      </c>
      <c r="D17" s="29" t="s">
        <v>86</v>
      </c>
      <c r="E17" s="27" t="s">
        <v>87</v>
      </c>
    </row>
    <row r="18" customFormat="false" ht="15" hidden="false" customHeight="true" outlineLevel="0" collapsed="false">
      <c r="B18" s="27" t="s">
        <v>88</v>
      </c>
      <c r="C18" s="30" t="n">
        <v>0.6</v>
      </c>
      <c r="D18" s="29" t="s">
        <v>76</v>
      </c>
      <c r="E18" s="27" t="s">
        <v>89</v>
      </c>
    </row>
    <row r="19" customFormat="false" ht="15" hidden="false" customHeight="true" outlineLevel="0" collapsed="false">
      <c r="B19" s="27" t="s">
        <v>90</v>
      </c>
      <c r="C19" s="30" t="n">
        <f aca="false">C17*C18</f>
        <v>0.0108</v>
      </c>
      <c r="D19" s="29" t="s">
        <v>86</v>
      </c>
      <c r="E19" s="27" t="s">
        <v>91</v>
      </c>
    </row>
    <row r="20" customFormat="false" ht="15" hidden="false" customHeight="true" outlineLevel="0" collapsed="false">
      <c r="B20" s="27" t="s">
        <v>92</v>
      </c>
      <c r="C20" s="30" t="n">
        <f aca="false">C13/C19</f>
        <v>0.737150952886405</v>
      </c>
      <c r="D20" s="29" t="s">
        <v>93</v>
      </c>
      <c r="E20" s="27" t="s">
        <v>94</v>
      </c>
    </row>
    <row r="21" customFormat="false" ht="15" hidden="false" customHeight="true" outlineLevel="0" collapsed="false">
      <c r="B21" s="27" t="s">
        <v>95</v>
      </c>
      <c r="C21" s="30" t="n">
        <f aca="false">SQRT(4*C20/PI())</f>
        <v>0.968798092305191</v>
      </c>
      <c r="D21" s="29" t="s">
        <v>96</v>
      </c>
      <c r="E21" s="27" t="s">
        <v>97</v>
      </c>
    </row>
    <row r="22" customFormat="false" ht="15" hidden="false" customHeight="true" outlineLevel="0" collapsed="false">
      <c r="B22" s="27" t="s">
        <v>98</v>
      </c>
      <c r="C22" s="30" t="n">
        <v>1</v>
      </c>
      <c r="D22" s="29" t="s">
        <v>96</v>
      </c>
      <c r="E22" s="27" t="s">
        <v>99</v>
      </c>
    </row>
    <row r="23" customFormat="false" ht="6" hidden="false" customHeight="true" outlineLevel="0" collapsed="false"/>
    <row r="24" customFormat="false" ht="18" hidden="false" customHeight="true" outlineLevel="0" collapsed="false">
      <c r="B24" s="24" t="s">
        <v>100</v>
      </c>
      <c r="C24" s="24"/>
      <c r="D24" s="24"/>
      <c r="E24" s="24"/>
    </row>
    <row r="25" customFormat="false" ht="15" hidden="false" customHeight="true" outlineLevel="0" collapsed="false">
      <c r="B25" s="26" t="s">
        <v>30</v>
      </c>
      <c r="C25" s="26" t="s">
        <v>31</v>
      </c>
      <c r="D25" s="26" t="s">
        <v>65</v>
      </c>
      <c r="E25" s="26" t="s">
        <v>66</v>
      </c>
    </row>
    <row r="26" customFormat="false" ht="15" hidden="false" customHeight="true" outlineLevel="0" collapsed="false">
      <c r="B26" s="27" t="s">
        <v>101</v>
      </c>
      <c r="C26" s="30" t="n">
        <v>8</v>
      </c>
      <c r="D26" s="29" t="s">
        <v>76</v>
      </c>
      <c r="E26" s="27" t="s">
        <v>102</v>
      </c>
    </row>
    <row r="27" customFormat="false" ht="15" hidden="false" customHeight="true" outlineLevel="0" collapsed="false">
      <c r="B27" s="27" t="s">
        <v>103</v>
      </c>
      <c r="C27" s="30" t="n">
        <f aca="false">C9</f>
        <v>3.3</v>
      </c>
      <c r="D27" s="29" t="s">
        <v>76</v>
      </c>
      <c r="E27" s="27" t="s">
        <v>104</v>
      </c>
    </row>
    <row r="28" customFormat="false" ht="15" hidden="false" customHeight="true" outlineLevel="0" collapsed="false">
      <c r="B28" s="27" t="s">
        <v>105</v>
      </c>
      <c r="C28" s="30" t="n">
        <f aca="false">C26*C27</f>
        <v>26.4</v>
      </c>
      <c r="D28" s="29" t="s">
        <v>76</v>
      </c>
      <c r="E28" s="27" t="s">
        <v>106</v>
      </c>
    </row>
    <row r="29" customFormat="false" ht="15" hidden="false" customHeight="true" outlineLevel="0" collapsed="false">
      <c r="B29" s="27" t="s">
        <v>107</v>
      </c>
      <c r="C29" s="30" t="n">
        <v>0.97</v>
      </c>
      <c r="D29" s="29" t="s">
        <v>76</v>
      </c>
      <c r="E29" s="27" t="s">
        <v>108</v>
      </c>
    </row>
    <row r="30" customFormat="false" ht="15" hidden="false" customHeight="true" outlineLevel="0" collapsed="false">
      <c r="B30" s="27" t="s">
        <v>109</v>
      </c>
      <c r="C30" s="30" t="n">
        <f aca="false">LN((1-1/C28)*(1/(1-C29))+1/C28)/LN(C28)</f>
        <v>1.05980375413255</v>
      </c>
      <c r="D30" s="29" t="s">
        <v>76</v>
      </c>
      <c r="E30" s="27" t="s">
        <v>110</v>
      </c>
    </row>
    <row r="31" customFormat="false" ht="15" hidden="false" customHeight="true" outlineLevel="0" collapsed="false">
      <c r="B31" s="27" t="s">
        <v>111</v>
      </c>
      <c r="C31" s="30" t="n">
        <v>0.3</v>
      </c>
      <c r="D31" s="29" t="s">
        <v>76</v>
      </c>
      <c r="E31" s="27" t="s">
        <v>112</v>
      </c>
    </row>
    <row r="32" customFormat="false" ht="15" hidden="false" customHeight="true" outlineLevel="0" collapsed="false">
      <c r="B32" s="27" t="s">
        <v>113</v>
      </c>
      <c r="C32" s="30" t="n">
        <f aca="false">C30/C31</f>
        <v>3.53267918044182</v>
      </c>
      <c r="D32" s="29" t="s">
        <v>76</v>
      </c>
      <c r="E32" s="27" t="s">
        <v>114</v>
      </c>
    </row>
    <row r="33" customFormat="false" ht="15" hidden="false" customHeight="true" outlineLevel="0" collapsed="false">
      <c r="B33" s="27" t="s">
        <v>115</v>
      </c>
      <c r="C33" s="30" t="n">
        <f aca="false">ROUNDUP(C32,0)</f>
        <v>4</v>
      </c>
      <c r="D33" s="29" t="s">
        <v>76</v>
      </c>
      <c r="E33" s="27" t="s">
        <v>116</v>
      </c>
    </row>
    <row r="34" customFormat="false" ht="6" hidden="false" customHeight="true" outlineLevel="0" collapsed="false"/>
    <row r="35" customFormat="false" ht="18" hidden="false" customHeight="true" outlineLevel="0" collapsed="false">
      <c r="B35" s="24" t="s">
        <v>117</v>
      </c>
      <c r="C35" s="24"/>
      <c r="D35" s="24"/>
      <c r="E35" s="24"/>
    </row>
    <row r="36" customFormat="false" ht="15" hidden="false" customHeight="true" outlineLevel="0" collapsed="false">
      <c r="B36" s="26" t="s">
        <v>30</v>
      </c>
      <c r="C36" s="26" t="s">
        <v>31</v>
      </c>
      <c r="D36" s="26" t="s">
        <v>65</v>
      </c>
      <c r="E36" s="26" t="s">
        <v>66</v>
      </c>
    </row>
    <row r="37" customFormat="false" ht="15" hidden="false" customHeight="true" outlineLevel="0" collapsed="false">
      <c r="B37" s="27" t="s">
        <v>118</v>
      </c>
      <c r="C37" s="30" t="n">
        <v>0.25</v>
      </c>
      <c r="D37" s="29" t="s">
        <v>96</v>
      </c>
      <c r="E37" s="27" t="s">
        <v>119</v>
      </c>
    </row>
    <row r="38" customFormat="false" ht="15" hidden="false" customHeight="true" outlineLevel="0" collapsed="false">
      <c r="B38" s="27" t="s">
        <v>120</v>
      </c>
      <c r="C38" s="30" t="n">
        <f aca="false">C33*C37</f>
        <v>1</v>
      </c>
      <c r="D38" s="29" t="s">
        <v>96</v>
      </c>
      <c r="E38" s="27" t="s">
        <v>121</v>
      </c>
    </row>
    <row r="39" customFormat="false" ht="15" hidden="false" customHeight="true" outlineLevel="0" collapsed="false">
      <c r="B39" s="27" t="s">
        <v>122</v>
      </c>
      <c r="C39" s="30" t="n">
        <v>0.8</v>
      </c>
      <c r="D39" s="29" t="s">
        <v>96</v>
      </c>
      <c r="E39" s="27" t="s">
        <v>123</v>
      </c>
    </row>
    <row r="40" customFormat="false" ht="15" hidden="false" customHeight="true" outlineLevel="0" collapsed="false">
      <c r="B40" s="27" t="s">
        <v>124</v>
      </c>
      <c r="C40" s="30" t="n">
        <v>0.6</v>
      </c>
      <c r="D40" s="29" t="s">
        <v>96</v>
      </c>
      <c r="E40" s="27" t="s">
        <v>125</v>
      </c>
    </row>
    <row r="41" customFormat="false" ht="15" hidden="false" customHeight="true" outlineLevel="0" collapsed="false">
      <c r="B41" s="27" t="s">
        <v>126</v>
      </c>
      <c r="C41" s="30" t="n">
        <v>0.3</v>
      </c>
      <c r="D41" s="29" t="s">
        <v>96</v>
      </c>
      <c r="E41" s="27" t="s">
        <v>127</v>
      </c>
    </row>
    <row r="42" customFormat="false" ht="15" hidden="false" customHeight="true" outlineLevel="0" collapsed="false">
      <c r="B42" s="27" t="s">
        <v>128</v>
      </c>
      <c r="C42" s="30" t="n">
        <f aca="false">C38+C39+C40+C41</f>
        <v>2.7</v>
      </c>
      <c r="D42" s="29" t="s">
        <v>96</v>
      </c>
      <c r="E42" s="27" t="s">
        <v>129</v>
      </c>
    </row>
    <row r="43" customFormat="false" ht="15" hidden="false" customHeight="true" outlineLevel="0" collapsed="false">
      <c r="B43" s="27" t="s">
        <v>130</v>
      </c>
      <c r="C43" s="30" t="n">
        <f aca="false">C42/C22</f>
        <v>2.7</v>
      </c>
      <c r="D43" s="29" t="s">
        <v>76</v>
      </c>
      <c r="E43" s="27" t="s">
        <v>131</v>
      </c>
    </row>
  </sheetData>
  <mergeCells count="5">
    <mergeCell ref="B1:E2"/>
    <mergeCell ref="B4:E4"/>
    <mergeCell ref="B15:E15"/>
    <mergeCell ref="B24:E24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1" sqref="B4:F11 I1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6" min="5" style="1" width="18"/>
    <col collapsed="false" customWidth="true" hidden="false" outlineLevel="0" max="8" min="7" style="1" width="20"/>
    <col collapsed="false" customWidth="true" hidden="false" outlineLevel="0" max="9" min="9" style="1" width="10.43"/>
  </cols>
  <sheetData>
    <row r="1" customFormat="false" ht="21.75" hidden="false" customHeight="true" outlineLevel="0" collapsed="false">
      <c r="B1" s="2" t="s">
        <v>132</v>
      </c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B3" s="31" t="s">
        <v>133</v>
      </c>
      <c r="C3" s="31"/>
      <c r="D3" s="31"/>
      <c r="E3" s="31"/>
      <c r="F3" s="31"/>
      <c r="G3" s="31"/>
      <c r="H3" s="31"/>
    </row>
    <row r="4" customFormat="false" ht="6" hidden="false" customHeight="true" outlineLevel="0" collapsed="false"/>
    <row r="5" customFormat="false" ht="30" hidden="false" customHeight="true" outlineLevel="0" collapsed="false">
      <c r="B5" s="5" t="s">
        <v>3</v>
      </c>
      <c r="C5" s="5" t="s">
        <v>14</v>
      </c>
      <c r="D5" s="5" t="s">
        <v>134</v>
      </c>
      <c r="E5" s="5" t="s">
        <v>135</v>
      </c>
      <c r="F5" s="5" t="s">
        <v>136</v>
      </c>
      <c r="G5" s="5" t="s">
        <v>137</v>
      </c>
      <c r="H5" s="5" t="s">
        <v>138</v>
      </c>
      <c r="I5" s="5" t="s">
        <v>139</v>
      </c>
    </row>
    <row r="6" customFormat="false" ht="15" hidden="false" customHeight="true" outlineLevel="0" collapsed="false">
      <c r="B6" s="32" t="s">
        <v>7</v>
      </c>
      <c r="C6" s="33" t="n">
        <v>8</v>
      </c>
      <c r="D6" s="34" t="n">
        <v>2124</v>
      </c>
      <c r="E6" s="35" t="n">
        <f aca="false">C6*Calculations!C27</f>
        <v>26.4</v>
      </c>
      <c r="F6" s="36" t="n">
        <f aca="false">IFERROR(LN((1-1/E6)*(33.333)+1/E6)/LN(E6),"N/A")</f>
        <v>1.05980070276009</v>
      </c>
      <c r="G6" s="36" t="n">
        <f aca="false">IFERROR(F6/Calculations!C31,"N/A")</f>
        <v>3.53266900920028</v>
      </c>
      <c r="H6" s="37" t="n">
        <v>0.97301168572656</v>
      </c>
      <c r="I6" s="34" t="n">
        <v>2066.67682048321</v>
      </c>
    </row>
    <row r="7" customFormat="false" ht="15" hidden="false" customHeight="true" outlineLevel="0" collapsed="false">
      <c r="B7" s="9" t="s">
        <v>8</v>
      </c>
      <c r="C7" s="16" t="n">
        <v>15</v>
      </c>
      <c r="D7" s="11" t="n">
        <v>12</v>
      </c>
      <c r="E7" s="38" t="n">
        <f aca="false">C7*Calculations!C27</f>
        <v>49.5</v>
      </c>
      <c r="F7" s="39" t="n">
        <f aca="false">IFERROR(LN((1-1/E7)*(33.333)+1/E7)/LN(E7),"N/A")</f>
        <v>0.893588369924272</v>
      </c>
      <c r="G7" s="39" t="n">
        <f aca="false">IFERROR(F7/Calculations!C31,"N/A")</f>
        <v>2.97862789974757</v>
      </c>
      <c r="H7" s="40" t="n">
        <v>0.999059243287546</v>
      </c>
      <c r="I7" s="11" t="n">
        <v>11.9887109194506</v>
      </c>
    </row>
    <row r="8" customFormat="false" ht="15" hidden="false" customHeight="true" outlineLevel="0" collapsed="false">
      <c r="B8" s="6" t="s">
        <v>9</v>
      </c>
      <c r="C8" s="14" t="n">
        <v>2.5</v>
      </c>
      <c r="D8" s="8" t="n">
        <v>23</v>
      </c>
      <c r="E8" s="41" t="n">
        <f aca="false">C8*Calculations!C27</f>
        <v>8.25</v>
      </c>
      <c r="F8" s="15" t="s">
        <v>140</v>
      </c>
      <c r="G8" s="15" t="s">
        <v>141</v>
      </c>
      <c r="H8" s="40" t="n">
        <v>0.995426483962706</v>
      </c>
      <c r="I8" s="8" t="n">
        <v>22.8948091311422</v>
      </c>
    </row>
    <row r="9" customFormat="false" ht="15" hidden="false" customHeight="true" outlineLevel="0" collapsed="false">
      <c r="B9" s="9" t="s">
        <v>10</v>
      </c>
      <c r="C9" s="16" t="n">
        <v>1</v>
      </c>
      <c r="D9" s="11" t="n">
        <v>201</v>
      </c>
      <c r="E9" s="38" t="n">
        <f aca="false">C9*Calculations!C27</f>
        <v>3.3</v>
      </c>
      <c r="F9" s="17" t="s">
        <v>140</v>
      </c>
      <c r="G9" s="17" t="s">
        <v>141</v>
      </c>
      <c r="H9" s="40" t="n">
        <v>0.999978285358535</v>
      </c>
      <c r="I9" s="11" t="n">
        <v>200.995635357066</v>
      </c>
    </row>
    <row r="10" customFormat="false" ht="15" hidden="false" customHeight="true" outlineLevel="0" collapsed="false">
      <c r="B10" s="6" t="s">
        <v>11</v>
      </c>
      <c r="C10" s="14" t="n">
        <v>0.35</v>
      </c>
      <c r="D10" s="8" t="n">
        <v>3701</v>
      </c>
      <c r="E10" s="41" t="n">
        <f aca="false">C10*Calculations!C27</f>
        <v>1.155</v>
      </c>
      <c r="F10" s="15" t="s">
        <v>140</v>
      </c>
      <c r="G10" s="15" t="s">
        <v>141</v>
      </c>
      <c r="H10" s="40" t="n">
        <v>0.999999966483166</v>
      </c>
      <c r="I10" s="8" t="n">
        <f aca="false">D10-2714.8</f>
        <v>986.2</v>
      </c>
    </row>
    <row r="11" customFormat="false" ht="15" hidden="false" customHeight="true" outlineLevel="0" collapsed="false">
      <c r="B11" s="42" t="s">
        <v>12</v>
      </c>
      <c r="C11" s="43"/>
      <c r="D11" s="44" t="n">
        <f aca="false">SUM(D6:D10)</f>
        <v>6061</v>
      </c>
      <c r="E11" s="43"/>
      <c r="F11" s="43"/>
      <c r="G11" s="43"/>
      <c r="H11" s="43"/>
      <c r="I11" s="44" t="n">
        <f aca="false">SUM(I6:I10)</f>
        <v>3288.75597589087</v>
      </c>
    </row>
    <row r="12" customFormat="false" ht="6" hidden="false" customHeight="true" outlineLevel="0" collapsed="false"/>
    <row r="13" customFormat="false" ht="27.75" hidden="false" customHeight="true" outlineLevel="0" collapsed="false">
      <c r="B13" s="45" t="s">
        <v>142</v>
      </c>
      <c r="C13" s="45"/>
      <c r="D13" s="45"/>
      <c r="E13" s="45"/>
      <c r="F13" s="45"/>
      <c r="G13" s="45"/>
      <c r="H13" s="45"/>
    </row>
  </sheetData>
  <mergeCells count="3">
    <mergeCell ref="B1:H2"/>
    <mergeCell ref="B3:H3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1" sqref="B4:F11 C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6"/>
    <col collapsed="false" customWidth="true" hidden="false" outlineLevel="0" max="5" min="3" style="1" width="24"/>
    <col collapsed="false" customWidth="true" hidden="false" outlineLevel="0" max="6" min="6" style="1" width="4"/>
  </cols>
  <sheetData>
    <row r="1" customFormat="false" ht="21.75" hidden="false" customHeight="true" outlineLevel="0" collapsed="false">
      <c r="B1" s="2" t="s">
        <v>143</v>
      </c>
      <c r="C1" s="2"/>
      <c r="D1" s="2"/>
      <c r="E1" s="2"/>
    </row>
    <row r="2" customFormat="false" ht="21.75" hidden="false" customHeight="true" outlineLevel="0" collapsed="false">
      <c r="B2" s="2"/>
      <c r="C2" s="2"/>
      <c r="D2" s="2"/>
      <c r="E2" s="2"/>
    </row>
    <row r="3" customFormat="false" ht="15.75" hidden="false" customHeight="true" outlineLevel="0" collapsed="false">
      <c r="B3" s="31" t="s">
        <v>144</v>
      </c>
      <c r="C3" s="31"/>
      <c r="D3" s="31"/>
      <c r="E3" s="31"/>
    </row>
    <row r="4" customFormat="false" ht="6" hidden="false" customHeight="true" outlineLevel="0" collapsed="false"/>
    <row r="5" customFormat="false" ht="30" hidden="false" customHeight="true" outlineLevel="0" collapsed="false">
      <c r="B5" s="5" t="s">
        <v>145</v>
      </c>
      <c r="C5" s="5" t="s">
        <v>146</v>
      </c>
      <c r="D5" s="5" t="s">
        <v>147</v>
      </c>
      <c r="E5" s="5" t="s">
        <v>148</v>
      </c>
    </row>
    <row r="6" customFormat="false" ht="15" hidden="false" customHeight="true" outlineLevel="0" collapsed="false">
      <c r="B6" s="42" t="s">
        <v>149</v>
      </c>
      <c r="C6" s="46" t="n">
        <v>1</v>
      </c>
      <c r="D6" s="47" t="n">
        <f aca="false">C6*100</f>
        <v>100</v>
      </c>
      <c r="E6" s="47" t="n">
        <v>0</v>
      </c>
    </row>
    <row r="7" customFormat="false" ht="15" hidden="false" customHeight="true" outlineLevel="0" collapsed="false">
      <c r="B7" s="9" t="s">
        <v>150</v>
      </c>
      <c r="C7" s="48" t="n">
        <f aca="false">C6/(1+1.504)</f>
        <v>0.399361022364217</v>
      </c>
      <c r="D7" s="49" t="n">
        <f aca="false">C7*100</f>
        <v>39.9361022364217</v>
      </c>
      <c r="E7" s="49" t="n">
        <f aca="false">(1-C7)*100</f>
        <v>60.0638977635783</v>
      </c>
    </row>
    <row r="8" customFormat="false" ht="15" hidden="false" customHeight="true" outlineLevel="0" collapsed="false">
      <c r="B8" s="6" t="s">
        <v>151</v>
      </c>
      <c r="C8" s="50" t="n">
        <f aca="false">C7/(1+1.504)</f>
        <v>0.159489226183793</v>
      </c>
      <c r="D8" s="51" t="n">
        <f aca="false">C8*100</f>
        <v>15.9489226183793</v>
      </c>
      <c r="E8" s="51" t="n">
        <f aca="false">(1-C8)*100</f>
        <v>84.0510773816207</v>
      </c>
    </row>
    <row r="9" customFormat="false" ht="15" hidden="false" customHeight="true" outlineLevel="0" collapsed="false">
      <c r="B9" s="9" t="s">
        <v>152</v>
      </c>
      <c r="C9" s="48" t="n">
        <f aca="false">C8/(1+1.504)</f>
        <v>0.0636937804248374</v>
      </c>
      <c r="D9" s="49" t="n">
        <f aca="false">C9*100</f>
        <v>6.36937804248374</v>
      </c>
      <c r="E9" s="49" t="n">
        <f aca="false">(1-C9)*100</f>
        <v>93.6306219575163</v>
      </c>
    </row>
    <row r="10" customFormat="false" ht="15" hidden="false" customHeight="true" outlineLevel="0" collapsed="false">
      <c r="B10" s="6" t="s">
        <v>153</v>
      </c>
      <c r="C10" s="50" t="n">
        <f aca="false">C9/(1+1.504)</f>
        <v>0.025436813268705</v>
      </c>
      <c r="D10" s="51" t="n">
        <f aca="false">C10*100</f>
        <v>2.5436813268705</v>
      </c>
      <c r="E10" s="51" t="n">
        <f aca="false">(1-C10)*100</f>
        <v>97.4563186731295</v>
      </c>
    </row>
    <row r="11" customFormat="false" ht="15" hidden="false" customHeight="true" outlineLevel="0" collapsed="false">
      <c r="B11" s="9" t="s">
        <v>154</v>
      </c>
      <c r="C11" s="48" t="n">
        <f aca="false">C10/(1+1.504)</f>
        <v>0.0101584717526777</v>
      </c>
      <c r="D11" s="49" t="n">
        <f aca="false">C11*100</f>
        <v>1.01584717526777</v>
      </c>
      <c r="E11" s="49" t="n">
        <f aca="false">(1-C11)*100</f>
        <v>98.9841528247322</v>
      </c>
    </row>
    <row r="12" customFormat="false" ht="15" hidden="false" customHeight="true" outlineLevel="0" collapsed="false">
      <c r="B12" s="6" t="s">
        <v>155</v>
      </c>
      <c r="C12" s="50" t="n">
        <f aca="false">C11/(1+1.504)</f>
        <v>0.0040568976648074</v>
      </c>
      <c r="D12" s="51" t="n">
        <f aca="false">C12*100</f>
        <v>0.40568976648074</v>
      </c>
      <c r="E12" s="51" t="n">
        <f aca="false">(1-C12)*100</f>
        <v>99.5943102335193</v>
      </c>
    </row>
    <row r="13" customFormat="false" ht="15" hidden="false" customHeight="true" outlineLevel="0" collapsed="false">
      <c r="B13" s="9" t="s">
        <v>156</v>
      </c>
      <c r="C13" s="48" t="n">
        <f aca="false">C12/(1+1.504)</f>
        <v>0.00162016679904449</v>
      </c>
      <c r="D13" s="49" t="n">
        <f aca="false">C13*100</f>
        <v>0.162016679904449</v>
      </c>
      <c r="E13" s="49" t="n">
        <f aca="false">(1-C13)*100</f>
        <v>99.8379833200956</v>
      </c>
    </row>
    <row r="14" customFormat="false" ht="15" hidden="false" customHeight="true" outlineLevel="0" collapsed="false">
      <c r="B14" s="6" t="s">
        <v>157</v>
      </c>
      <c r="C14" s="50" t="n">
        <f aca="false">C13/(1+1.504)</f>
        <v>0.000647031469266968</v>
      </c>
      <c r="D14" s="51" t="n">
        <f aca="false">C14*100</f>
        <v>0.0647031469266969</v>
      </c>
      <c r="E14" s="51" t="n">
        <f aca="false">(1-C14)*100</f>
        <v>99.9352968530733</v>
      </c>
    </row>
    <row r="15" customFormat="false" ht="15" hidden="false" customHeight="true" outlineLevel="0" collapsed="false">
      <c r="B15" s="9" t="s">
        <v>158</v>
      </c>
      <c r="C15" s="48" t="n">
        <f aca="false">C14/(1+1.504)</f>
        <v>0.000258399149068278</v>
      </c>
      <c r="D15" s="49" t="n">
        <f aca="false">C15*100</f>
        <v>0.0258399149068278</v>
      </c>
      <c r="E15" s="49" t="n">
        <f aca="false">(1-C15)*100</f>
        <v>99.9741600850932</v>
      </c>
    </row>
    <row r="16" customFormat="false" ht="15" hidden="false" customHeight="true" outlineLevel="0" collapsed="false">
      <c r="B16" s="6" t="s">
        <v>159</v>
      </c>
      <c r="C16" s="50" t="n">
        <f aca="false">C15/(1+1.504)</f>
        <v>0.000103194548349951</v>
      </c>
      <c r="D16" s="51" t="n">
        <f aca="false">C16*100</f>
        <v>0.0103194548349951</v>
      </c>
      <c r="E16" s="51" t="n">
        <f aca="false">(1-C16)*100</f>
        <v>99.989680545165</v>
      </c>
    </row>
    <row r="17" customFormat="false" ht="15" hidden="false" customHeight="true" outlineLevel="0" collapsed="false">
      <c r="B17" s="9" t="s">
        <v>160</v>
      </c>
      <c r="C17" s="48" t="n">
        <f aca="false">C16/(1+1.504)</f>
        <v>4.12118803314502E-005</v>
      </c>
      <c r="D17" s="49" t="n">
        <f aca="false">C17*100</f>
        <v>0.00412118803314502</v>
      </c>
      <c r="E17" s="49" t="n">
        <f aca="false">(1-C17)*100</f>
        <v>99.9958788119669</v>
      </c>
    </row>
    <row r="18" customFormat="false" ht="15" hidden="false" customHeight="true" outlineLevel="0" collapsed="false">
      <c r="B18" s="6" t="s">
        <v>161</v>
      </c>
      <c r="C18" s="50" t="n">
        <f aca="false">C17/(1+1.504)</f>
        <v>1.64584186627197E-005</v>
      </c>
      <c r="D18" s="51" t="n">
        <f aca="false">C18*100</f>
        <v>0.00164584186627197</v>
      </c>
      <c r="E18" s="51" t="n">
        <f aca="false">(1-C18)*100</f>
        <v>99.9983541581337</v>
      </c>
    </row>
    <row r="19" customFormat="false" ht="15" hidden="false" customHeight="true" outlineLevel="0" collapsed="false">
      <c r="B19" s="9" t="s">
        <v>162</v>
      </c>
      <c r="C19" s="48" t="n">
        <f aca="false">C18/(1+1.504)</f>
        <v>6.57285090364207E-006</v>
      </c>
      <c r="D19" s="49" t="n">
        <f aca="false">C19*100</f>
        <v>0.000657285090364207</v>
      </c>
      <c r="E19" s="49" t="n">
        <f aca="false">(1-C19)*100</f>
        <v>99.9993427149096</v>
      </c>
    </row>
    <row r="20" customFormat="false" ht="15" hidden="false" customHeight="true" outlineLevel="0" collapsed="false">
      <c r="B20" s="6" t="s">
        <v>163</v>
      </c>
      <c r="C20" s="50" t="n">
        <f aca="false">C19/(1+1.504)</f>
        <v>2.62494045672606E-006</v>
      </c>
      <c r="D20" s="51" t="n">
        <f aca="false">C20*100</f>
        <v>0.000262494045672607</v>
      </c>
      <c r="E20" s="51" t="n">
        <f aca="false">(1-C20)*100</f>
        <v>99.9997375059543</v>
      </c>
    </row>
    <row r="21" customFormat="false" ht="18" hidden="false" customHeight="true" outlineLevel="0" collapsed="false">
      <c r="B21" s="52" t="s">
        <v>164</v>
      </c>
      <c r="E21" s="53" t="n">
        <f aca="false">E20</f>
        <v>99.9997375059543</v>
      </c>
    </row>
  </sheetData>
  <mergeCells count="2">
    <mergeCell ref="B1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F11"/>
    </sheetView>
  </sheetViews>
  <sheetFormatPr defaultColWidth="8.6796875" defaultRowHeight="15" zeroHeight="false" outlineLevelRow="0" outlineLevelCol="0"/>
  <cols>
    <col collapsed="false" customWidth="true" hidden="false" outlineLevel="0" max="1" min="1" style="22" width="4"/>
    <col collapsed="false" customWidth="true" hidden="false" outlineLevel="0" max="2" min="2" style="22" width="26"/>
    <col collapsed="false" customWidth="true" hidden="false" outlineLevel="0" max="6" min="3" style="22" width="20"/>
    <col collapsed="false" customWidth="true" hidden="false" outlineLevel="0" max="7" min="7" style="22" width="6.02"/>
    <col collapsed="false" customWidth="false" hidden="false" outlineLevel="0" max="9" min="8" style="22" width="8.68"/>
    <col collapsed="false" customWidth="true" hidden="false" outlineLevel="0" max="10" min="10" style="22" width="11.53"/>
    <col collapsed="false" customWidth="true" hidden="false" outlineLevel="0" max="11" min="11" style="22" width="10.85"/>
    <col collapsed="false" customWidth="false" hidden="false" outlineLevel="0" max="16384" min="12" style="22" width="8.68"/>
  </cols>
  <sheetData>
    <row r="1" customFormat="false" ht="21.75" hidden="false" customHeight="true" outlineLevel="0" collapsed="false">
      <c r="B1" s="54" t="s">
        <v>165</v>
      </c>
      <c r="C1" s="54"/>
      <c r="D1" s="54"/>
      <c r="E1" s="54"/>
      <c r="F1" s="54"/>
    </row>
    <row r="2" customFormat="false" ht="15.75" hidden="false" customHeight="true" outlineLevel="0" collapsed="false">
      <c r="B2" s="55" t="s">
        <v>166</v>
      </c>
      <c r="C2" s="55"/>
      <c r="D2" s="55"/>
      <c r="E2" s="55"/>
      <c r="F2" s="55"/>
    </row>
    <row r="3" customFormat="false" ht="6" hidden="false" customHeight="true" outlineLevel="0" collapsed="false"/>
    <row r="4" customFormat="false" ht="31.5" hidden="false" customHeight="true" outlineLevel="0" collapsed="false">
      <c r="B4" s="56" t="s">
        <v>3</v>
      </c>
      <c r="C4" s="56" t="s">
        <v>167</v>
      </c>
      <c r="D4" s="56" t="s">
        <v>168</v>
      </c>
      <c r="E4" s="56" t="s">
        <v>169</v>
      </c>
      <c r="F4" s="56" t="s">
        <v>170</v>
      </c>
    </row>
    <row r="5" customFormat="false" ht="15" hidden="false" customHeight="true" outlineLevel="0" collapsed="false">
      <c r="B5" s="57" t="s">
        <v>7</v>
      </c>
      <c r="C5" s="58" t="n">
        <v>2124</v>
      </c>
      <c r="D5" s="59" t="n">
        <v>0</v>
      </c>
      <c r="E5" s="58" t="n">
        <v>2066.7</v>
      </c>
      <c r="F5" s="58" t="n">
        <f aca="false">C5-E5</f>
        <v>57.3000000000002</v>
      </c>
    </row>
    <row r="6" customFormat="false" ht="15" hidden="false" customHeight="true" outlineLevel="0" collapsed="false">
      <c r="B6" s="60" t="s">
        <v>8</v>
      </c>
      <c r="C6" s="59" t="n">
        <v>12</v>
      </c>
      <c r="D6" s="59" t="n">
        <v>0</v>
      </c>
      <c r="E6" s="59" t="n">
        <v>12</v>
      </c>
      <c r="F6" s="58" t="n">
        <f aca="false">C6-E6</f>
        <v>0</v>
      </c>
    </row>
    <row r="7" customFormat="false" ht="15" hidden="false" customHeight="true" outlineLevel="0" collapsed="false">
      <c r="B7" s="60" t="s">
        <v>9</v>
      </c>
      <c r="C7" s="59" t="n">
        <v>23</v>
      </c>
      <c r="D7" s="59" t="n">
        <v>0</v>
      </c>
      <c r="E7" s="59" t="n">
        <v>22.9</v>
      </c>
      <c r="F7" s="58" t="n">
        <f aca="false">C7-E7</f>
        <v>0.100000000000001</v>
      </c>
    </row>
    <row r="8" customFormat="false" ht="15" hidden="false" customHeight="true" outlineLevel="0" collapsed="false">
      <c r="B8" s="60" t="s">
        <v>10</v>
      </c>
      <c r="C8" s="59" t="n">
        <v>201</v>
      </c>
      <c r="D8" s="59" t="n">
        <v>0</v>
      </c>
      <c r="E8" s="59" t="n">
        <v>201</v>
      </c>
      <c r="F8" s="58" t="n">
        <f aca="false">C8-E8</f>
        <v>0</v>
      </c>
    </row>
    <row r="9" customFormat="false" ht="15" hidden="false" customHeight="true" outlineLevel="0" collapsed="false">
      <c r="B9" s="60" t="s">
        <v>11</v>
      </c>
      <c r="C9" s="59" t="n">
        <v>3701</v>
      </c>
      <c r="D9" s="59" t="n">
        <v>0</v>
      </c>
      <c r="E9" s="59" t="n">
        <f aca="false">C9-F9</f>
        <v>986.2</v>
      </c>
      <c r="F9" s="59" t="n">
        <v>2714.8</v>
      </c>
    </row>
    <row r="10" customFormat="false" ht="15" hidden="false" customHeight="true" outlineLevel="0" collapsed="false">
      <c r="B10" s="60" t="s">
        <v>171</v>
      </c>
      <c r="C10" s="59" t="n">
        <v>0</v>
      </c>
      <c r="D10" s="59" t="n">
        <f aca="false">Calculations!C10</f>
        <v>20001.3</v>
      </c>
      <c r="E10" s="59" t="n">
        <f aca="false">18568</f>
        <v>18568</v>
      </c>
      <c r="F10" s="59" t="n">
        <f aca="false">D10-E10</f>
        <v>1433.3</v>
      </c>
    </row>
    <row r="11" customFormat="false" ht="15.75" hidden="false" customHeight="true" outlineLevel="0" collapsed="false">
      <c r="B11" s="56" t="s">
        <v>172</v>
      </c>
      <c r="C11" s="58" t="n">
        <f aca="false">SUM(C5:C10)</f>
        <v>6061</v>
      </c>
      <c r="D11" s="58" t="n">
        <f aca="false">SUM(D5:D10)</f>
        <v>20001.3</v>
      </c>
      <c r="E11" s="58" t="n">
        <f aca="false">SUM(E5:E10)</f>
        <v>21856.8</v>
      </c>
      <c r="F11" s="58" t="n">
        <f aca="false">SUM(F5:F10)</f>
        <v>4205.5</v>
      </c>
    </row>
    <row r="12" customFormat="false" ht="6" hidden="false" customHeight="true" outlineLevel="0" collapsed="false"/>
    <row r="13" customFormat="false" ht="15" hidden="false" customHeight="true" outlineLevel="0" collapsed="false">
      <c r="B13" s="55" t="s">
        <v>173</v>
      </c>
      <c r="C13" s="55"/>
      <c r="D13" s="55"/>
      <c r="E13" s="61" t="n">
        <f aca="false">(C11+D11)-(E11+F11)</f>
        <v>0</v>
      </c>
      <c r="F13" s="29" t="s">
        <v>174</v>
      </c>
    </row>
    <row r="14" customFormat="false" ht="6" hidden="false" customHeight="true" outlineLevel="0" collapsed="false"/>
    <row r="15" customFormat="false" ht="18" hidden="false" customHeight="true" outlineLevel="0" collapsed="false">
      <c r="B15" s="24" t="s">
        <v>175</v>
      </c>
      <c r="C15" s="24"/>
      <c r="D15" s="24"/>
      <c r="E15" s="24"/>
      <c r="F15" s="24"/>
    </row>
    <row r="16" customFormat="false" ht="15" hidden="false" customHeight="true" outlineLevel="0" collapsed="false">
      <c r="B16" s="26" t="s">
        <v>176</v>
      </c>
      <c r="C16" s="26" t="s">
        <v>177</v>
      </c>
      <c r="D16" s="26" t="s">
        <v>178</v>
      </c>
      <c r="E16" s="26" t="s">
        <v>179</v>
      </c>
      <c r="F16" s="26" t="s">
        <v>180</v>
      </c>
    </row>
    <row r="17" customFormat="false" ht="15" hidden="false" customHeight="true" outlineLevel="0" collapsed="false">
      <c r="B17" s="27" t="s">
        <v>181</v>
      </c>
      <c r="C17" s="62" t="n">
        <v>6061</v>
      </c>
      <c r="D17" s="63" t="n">
        <v>1.013</v>
      </c>
      <c r="E17" s="64" t="n">
        <f aca="false">C17/D17</f>
        <v>5983.2181638697</v>
      </c>
      <c r="F17" s="30" t="n">
        <f aca="false">E17/3.6</f>
        <v>1662.00504551936</v>
      </c>
    </row>
    <row r="18" customFormat="false" ht="15" hidden="false" customHeight="true" outlineLevel="0" collapsed="false">
      <c r="B18" s="27" t="s">
        <v>182</v>
      </c>
      <c r="C18" s="62" t="n">
        <v>1139.5</v>
      </c>
      <c r="D18" s="63" t="n">
        <v>0.882</v>
      </c>
      <c r="E18" s="64" t="n">
        <f aca="false">C18/D18</f>
        <v>1291.95011337868</v>
      </c>
      <c r="F18" s="30" t="n">
        <f aca="false">E18/3.6</f>
        <v>358.875031494079</v>
      </c>
    </row>
    <row r="19" customFormat="false" ht="15" hidden="false" customHeight="true" outlineLevel="0" collapsed="false">
      <c r="B19" s="27" t="s">
        <v>183</v>
      </c>
      <c r="C19" s="62" t="n">
        <v>7143</v>
      </c>
      <c r="D19" s="63" t="n">
        <v>0.882</v>
      </c>
      <c r="E19" s="64" t="n">
        <f aca="false">C19/D19</f>
        <v>8098.63945578231</v>
      </c>
      <c r="F19" s="30" t="n">
        <f aca="false">E19/3.6</f>
        <v>2249.62207105064</v>
      </c>
    </row>
    <row r="20" customFormat="false" ht="15" hidden="false" customHeight="true" outlineLevel="0" collapsed="false">
      <c r="B20" s="27" t="s">
        <v>184</v>
      </c>
      <c r="C20" s="62" t="n">
        <v>57.4</v>
      </c>
      <c r="D20" s="63" t="n">
        <v>1.013</v>
      </c>
      <c r="E20" s="64" t="n">
        <f aca="false">C20/D20</f>
        <v>56.6633761105627</v>
      </c>
      <c r="F20" s="30" t="n">
        <f aca="false">E20/3.6</f>
        <v>15.7398266973785</v>
      </c>
    </row>
    <row r="21" customFormat="false" ht="6" hidden="false" customHeight="true" outlineLevel="0" collapsed="false"/>
    <row r="22" customFormat="false" ht="18" hidden="false" customHeight="true" outlineLevel="0" collapsed="false">
      <c r="B22" s="24" t="s">
        <v>185</v>
      </c>
      <c r="C22" s="24"/>
      <c r="D22" s="24"/>
      <c r="E22" s="24"/>
      <c r="F22" s="24"/>
    </row>
    <row r="23" customFormat="false" ht="15" hidden="false" customHeight="true" outlineLevel="0" collapsed="false">
      <c r="B23" s="26" t="s">
        <v>3</v>
      </c>
      <c r="C23" s="26" t="s">
        <v>186</v>
      </c>
      <c r="D23" s="26" t="s">
        <v>187</v>
      </c>
      <c r="E23" s="26" t="s">
        <v>188</v>
      </c>
      <c r="F23" s="26" t="s">
        <v>189</v>
      </c>
    </row>
    <row r="24" customFormat="false" ht="15" hidden="false" customHeight="true" outlineLevel="0" collapsed="false">
      <c r="B24" s="65" t="s">
        <v>7</v>
      </c>
      <c r="C24" s="66" t="n">
        <f aca="false">C5/$C$11*100</f>
        <v>35.0437221580597</v>
      </c>
      <c r="D24" s="67" t="n">
        <f aca="false">D5/$D$11*100</f>
        <v>0</v>
      </c>
      <c r="E24" s="66" t="n">
        <f aca="false">E5/$E$11*100</f>
        <v>9.45563851981992</v>
      </c>
      <c r="F24" s="66" t="n">
        <f aca="false">F5/$F$11*100</f>
        <v>1.36250148614909</v>
      </c>
    </row>
    <row r="25" customFormat="false" ht="15" hidden="false" customHeight="true" outlineLevel="0" collapsed="false">
      <c r="B25" s="27" t="s">
        <v>8</v>
      </c>
      <c r="C25" s="67" t="n">
        <f aca="false">C6/$C$11*100</f>
        <v>0.197987130836496</v>
      </c>
      <c r="D25" s="67" t="n">
        <f aca="false">D6/$D$11*100</f>
        <v>0</v>
      </c>
      <c r="E25" s="67" t="n">
        <f aca="false">E6/$E$11*100</f>
        <v>0.0549028220050511</v>
      </c>
      <c r="F25" s="67" t="n">
        <f aca="false">F6/$F$11*100</f>
        <v>0</v>
      </c>
    </row>
    <row r="26" customFormat="false" ht="15" hidden="false" customHeight="true" outlineLevel="0" collapsed="false">
      <c r="B26" s="27" t="s">
        <v>9</v>
      </c>
      <c r="C26" s="67" t="n">
        <f aca="false">C7/$C$11*100</f>
        <v>0.379475334103283</v>
      </c>
      <c r="D26" s="67" t="n">
        <f aca="false">D7/$D$11*100</f>
        <v>0</v>
      </c>
      <c r="E26" s="67" t="n">
        <f aca="false">E7/$E$11*100</f>
        <v>0.104772885326306</v>
      </c>
      <c r="F26" s="67" t="n">
        <f aca="false">F7/$F$11*100</f>
        <v>0.00237783854476284</v>
      </c>
    </row>
    <row r="27" customFormat="false" ht="15" hidden="false" customHeight="true" outlineLevel="0" collapsed="false">
      <c r="B27" s="27" t="s">
        <v>10</v>
      </c>
      <c r="C27" s="67" t="n">
        <f aca="false">C8/$C$11*100</f>
        <v>3.3162844415113</v>
      </c>
      <c r="D27" s="67" t="n">
        <f aca="false">D8/$D$11*100</f>
        <v>0</v>
      </c>
      <c r="E27" s="67" t="n">
        <f aca="false">E8/$E$11*100</f>
        <v>0.919622268584605</v>
      </c>
      <c r="F27" s="67" t="n">
        <f aca="false">F8/$F$11*100</f>
        <v>0</v>
      </c>
    </row>
    <row r="28" customFormat="false" ht="15" hidden="false" customHeight="true" outlineLevel="0" collapsed="false">
      <c r="B28" s="27" t="s">
        <v>11</v>
      </c>
      <c r="C28" s="67" t="n">
        <f aca="false">C9/$C$11*100</f>
        <v>61.0625309354892</v>
      </c>
      <c r="D28" s="67" t="n">
        <f aca="false">D9/$D$11*100</f>
        <v>0</v>
      </c>
      <c r="E28" s="67" t="n">
        <f aca="false">E9/$E$11*100</f>
        <v>4.51209692178178</v>
      </c>
      <c r="F28" s="67" t="n">
        <f aca="false">F9/$F$11*100</f>
        <v>64.5535608132207</v>
      </c>
    </row>
    <row r="29" customFormat="false" ht="15" hidden="false" customHeight="true" outlineLevel="0" collapsed="false">
      <c r="B29" s="27" t="s">
        <v>171</v>
      </c>
      <c r="C29" s="67" t="n">
        <f aca="false">C10/$C$11*100</f>
        <v>0</v>
      </c>
      <c r="D29" s="67" t="n">
        <f aca="false">D10/$D$11*100</f>
        <v>100</v>
      </c>
      <c r="E29" s="67" t="n">
        <f aca="false">E10/$E$11*100</f>
        <v>84.9529665824824</v>
      </c>
      <c r="F29" s="67" t="n">
        <f aca="false">F10/$F$11*100</f>
        <v>34.0815598620854</v>
      </c>
    </row>
    <row r="30" customFormat="false" ht="15" hidden="false" customHeight="true" outlineLevel="0" collapsed="false">
      <c r="B30" s="65" t="s">
        <v>12</v>
      </c>
      <c r="C30" s="66" t="n">
        <f aca="false">SUM(C24:C29)</f>
        <v>100</v>
      </c>
      <c r="D30" s="66" t="n">
        <f aca="false">SUM(D24:D29)</f>
        <v>100</v>
      </c>
      <c r="E30" s="66" t="n">
        <f aca="false">SUM(E24:E29)</f>
        <v>100</v>
      </c>
      <c r="F30" s="66" t="n">
        <f aca="false">SUM(F24:F29)</f>
        <v>100</v>
      </c>
    </row>
    <row r="31" customFormat="false" ht="6" hidden="false" customHeight="true" outlineLevel="0" collapsed="false"/>
    <row r="32" customFormat="false" ht="18" hidden="false" customHeight="true" outlineLevel="0" collapsed="false">
      <c r="B32" s="24" t="s">
        <v>190</v>
      </c>
      <c r="C32" s="24"/>
      <c r="D32" s="24"/>
      <c r="E32" s="24"/>
      <c r="F32" s="24"/>
      <c r="J32" s="26" t="s">
        <v>3</v>
      </c>
      <c r="K32" s="26" t="s">
        <v>139</v>
      </c>
    </row>
    <row r="33" customFormat="false" ht="15" hidden="false" customHeight="true" outlineLevel="0" collapsed="false">
      <c r="B33" s="26" t="s">
        <v>3</v>
      </c>
      <c r="C33" s="26" t="s">
        <v>191</v>
      </c>
      <c r="D33" s="26" t="s">
        <v>134</v>
      </c>
      <c r="E33" s="26" t="s">
        <v>139</v>
      </c>
      <c r="F33" s="26" t="s">
        <v>192</v>
      </c>
      <c r="G33" s="26" t="s">
        <v>193</v>
      </c>
      <c r="J33" s="65" t="s">
        <v>7</v>
      </c>
      <c r="K33" s="68" t="n">
        <v>2066.7</v>
      </c>
    </row>
    <row r="34" customFormat="false" ht="15" hidden="false" customHeight="true" outlineLevel="0" collapsed="false">
      <c r="B34" s="65" t="s">
        <v>7</v>
      </c>
      <c r="C34" s="67" t="n">
        <v>8</v>
      </c>
      <c r="D34" s="68" t="n">
        <f aca="false">C5</f>
        <v>2124</v>
      </c>
      <c r="E34" s="68" t="n">
        <f aca="false">E5</f>
        <v>2066.7</v>
      </c>
      <c r="F34" s="68" t="n">
        <f aca="false">F5</f>
        <v>57.3000000000002</v>
      </c>
      <c r="G34" s="69" t="n">
        <f aca="false">E5/C5*100</f>
        <v>97.3022598870056</v>
      </c>
      <c r="J34" s="27" t="s">
        <v>8</v>
      </c>
      <c r="K34" s="62" t="n">
        <v>12</v>
      </c>
    </row>
    <row r="35" customFormat="false" ht="15" hidden="false" customHeight="true" outlineLevel="0" collapsed="false">
      <c r="B35" s="27" t="s">
        <v>8</v>
      </c>
      <c r="C35" s="67" t="n">
        <v>15</v>
      </c>
      <c r="D35" s="62" t="n">
        <f aca="false">C6</f>
        <v>12</v>
      </c>
      <c r="E35" s="62" t="n">
        <f aca="false">E6</f>
        <v>12</v>
      </c>
      <c r="F35" s="62" t="n">
        <f aca="false">F6</f>
        <v>0</v>
      </c>
      <c r="G35" s="70" t="n">
        <f aca="false">E6/C6*100</f>
        <v>100</v>
      </c>
      <c r="J35" s="27" t="s">
        <v>9</v>
      </c>
      <c r="K35" s="62" t="n">
        <v>22.9</v>
      </c>
    </row>
    <row r="36" customFormat="false" ht="15" hidden="false" customHeight="true" outlineLevel="0" collapsed="false">
      <c r="B36" s="27" t="s">
        <v>9</v>
      </c>
      <c r="C36" s="67" t="n">
        <v>2.5</v>
      </c>
      <c r="D36" s="62" t="n">
        <f aca="false">C7</f>
        <v>23</v>
      </c>
      <c r="E36" s="62" t="n">
        <f aca="false">E7</f>
        <v>22.9</v>
      </c>
      <c r="F36" s="62" t="n">
        <f aca="false">F7</f>
        <v>0.100000000000001</v>
      </c>
      <c r="G36" s="70" t="n">
        <f aca="false">E7/C7*100</f>
        <v>99.5652173913043</v>
      </c>
      <c r="J36" s="27" t="s">
        <v>10</v>
      </c>
      <c r="K36" s="62" t="n">
        <v>201</v>
      </c>
    </row>
    <row r="37" customFormat="false" ht="15" hidden="false" customHeight="true" outlineLevel="0" collapsed="false">
      <c r="B37" s="27" t="s">
        <v>10</v>
      </c>
      <c r="C37" s="67" t="n">
        <v>1</v>
      </c>
      <c r="D37" s="62" t="n">
        <f aca="false">C8</f>
        <v>201</v>
      </c>
      <c r="E37" s="62" t="n">
        <f aca="false">E8</f>
        <v>201</v>
      </c>
      <c r="F37" s="62" t="n">
        <f aca="false">F8</f>
        <v>0</v>
      </c>
      <c r="G37" s="70" t="n">
        <f aca="false">E8/C8*100</f>
        <v>100</v>
      </c>
      <c r="J37" s="27" t="s">
        <v>11</v>
      </c>
      <c r="K37" s="62" t="n">
        <f aca="false">E9</f>
        <v>986.2</v>
      </c>
    </row>
    <row r="38" customFormat="false" ht="15" hidden="false" customHeight="true" outlineLevel="0" collapsed="false">
      <c r="B38" s="27" t="s">
        <v>11</v>
      </c>
      <c r="C38" s="67" t="n">
        <v>0.35</v>
      </c>
      <c r="D38" s="62" t="n">
        <f aca="false">C9</f>
        <v>3701</v>
      </c>
      <c r="E38" s="62" t="n">
        <f aca="false">E9</f>
        <v>986.2</v>
      </c>
      <c r="F38" s="62" t="n">
        <f aca="false">F9</f>
        <v>2714.8</v>
      </c>
      <c r="G38" s="70" t="n">
        <f aca="false">E9/C9*100</f>
        <v>26.6468522021075</v>
      </c>
      <c r="J38" s="22" t="s">
        <v>194</v>
      </c>
      <c r="K38" s="22" t="n">
        <f aca="false">E10</f>
        <v>18568</v>
      </c>
    </row>
    <row r="39" customFormat="false" ht="6" hidden="false" customHeight="true" outlineLevel="0" collapsed="false"/>
    <row r="40" customFormat="false" ht="27.75" hidden="false" customHeight="true" outlineLevel="0" collapsed="false">
      <c r="B40" s="71" t="s">
        <v>195</v>
      </c>
      <c r="C40" s="71"/>
      <c r="D40" s="71"/>
      <c r="E40" s="71"/>
      <c r="F40" s="71"/>
    </row>
  </sheetData>
  <mergeCells count="7">
    <mergeCell ref="B1:F1"/>
    <mergeCell ref="B2:F2"/>
    <mergeCell ref="B13:D13"/>
    <mergeCell ref="B15:F15"/>
    <mergeCell ref="B22:F22"/>
    <mergeCell ref="B32:F32"/>
    <mergeCell ref="B40:F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8"/>
  <sheetViews>
    <sheetView showFormulas="false" showGridLines="fals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C36" activeCellId="1" sqref="B4:F11 C36"/>
    </sheetView>
  </sheetViews>
  <sheetFormatPr defaultColWidth="8.6796875" defaultRowHeight="15" zeroHeight="false" outlineLevelRow="0" outlineLevelCol="0"/>
  <cols>
    <col collapsed="false" customWidth="true" hidden="false" outlineLevel="0" max="1" min="1" style="72" width="4"/>
    <col collapsed="false" customWidth="true" hidden="false" outlineLevel="0" max="2" min="2" style="72" width="32"/>
    <col collapsed="false" customWidth="true" hidden="false" outlineLevel="0" max="3" min="3" style="72" width="22"/>
    <col collapsed="false" customWidth="true" hidden="false" outlineLevel="0" max="4" min="4" style="72" width="28"/>
    <col collapsed="false" customWidth="true" hidden="false" outlineLevel="0" max="5" min="5" style="72" width="10.15"/>
    <col collapsed="false" customWidth="false" hidden="false" outlineLevel="0" max="6" min="6" style="72" width="8.68"/>
    <col collapsed="false" customWidth="true" hidden="false" outlineLevel="0" max="7" min="7" style="72" width="11.53"/>
    <col collapsed="false" customWidth="false" hidden="false" outlineLevel="0" max="9" min="8" style="72" width="8.68"/>
    <col collapsed="false" customWidth="true" hidden="false" outlineLevel="0" max="10" min="10" style="72" width="11.53"/>
    <col collapsed="false" customWidth="true" hidden="false" outlineLevel="0" max="11" min="11" style="72" width="10.85"/>
    <col collapsed="false" customWidth="false" hidden="false" outlineLevel="0" max="16384" min="12" style="72" width="8.68"/>
  </cols>
  <sheetData>
    <row r="1" customFormat="false" ht="21.75" hidden="false" customHeight="true" outlineLevel="0" collapsed="false">
      <c r="B1" s="73" t="s">
        <v>196</v>
      </c>
      <c r="C1" s="73"/>
      <c r="D1" s="73"/>
    </row>
    <row r="2" customFormat="false" ht="21.75" hidden="false" customHeight="true" outlineLevel="0" collapsed="false">
      <c r="B2" s="73"/>
      <c r="C2" s="73"/>
      <c r="D2" s="73"/>
    </row>
    <row r="3" customFormat="false" ht="6" hidden="false" customHeight="true" outlineLevel="0" collapsed="false"/>
    <row r="4" customFormat="false" ht="18" hidden="false" customHeight="true" outlineLevel="0" collapsed="false">
      <c r="B4" s="74" t="s">
        <v>197</v>
      </c>
      <c r="C4" s="74"/>
      <c r="D4" s="74"/>
    </row>
    <row r="5" customFormat="false" ht="15" hidden="false" customHeight="true" outlineLevel="0" collapsed="false">
      <c r="B5" s="75" t="s">
        <v>30</v>
      </c>
      <c r="C5" s="75" t="s">
        <v>31</v>
      </c>
      <c r="D5" s="75" t="s">
        <v>65</v>
      </c>
    </row>
    <row r="6" customFormat="false" ht="15" hidden="false" customHeight="true" outlineLevel="0" collapsed="false">
      <c r="B6" s="76" t="s">
        <v>198</v>
      </c>
      <c r="C6" s="77" t="s">
        <v>199</v>
      </c>
      <c r="D6" s="78" t="s">
        <v>76</v>
      </c>
    </row>
    <row r="7" customFormat="false" ht="15" hidden="false" customHeight="true" outlineLevel="0" collapsed="false">
      <c r="B7" s="79" t="s">
        <v>200</v>
      </c>
      <c r="C7" s="80" t="n">
        <f aca="false">Calculations!C22</f>
        <v>1</v>
      </c>
      <c r="D7" s="81" t="s">
        <v>96</v>
      </c>
    </row>
    <row r="8" customFormat="false" ht="15" hidden="false" customHeight="true" outlineLevel="0" collapsed="false">
      <c r="B8" s="76" t="s">
        <v>201</v>
      </c>
      <c r="C8" s="77" t="n">
        <f aca="false">Calculations!C42</f>
        <v>2.7</v>
      </c>
      <c r="D8" s="78" t="s">
        <v>96</v>
      </c>
    </row>
    <row r="9" customFormat="false" ht="15" hidden="false" customHeight="true" outlineLevel="0" collapsed="false">
      <c r="B9" s="79" t="s">
        <v>130</v>
      </c>
      <c r="C9" s="80" t="n">
        <f aca="false">Calculations!C43</f>
        <v>2.7</v>
      </c>
      <c r="D9" s="81" t="s">
        <v>76</v>
      </c>
      <c r="E9" s="72" t="n">
        <f aca="false">C9-F9</f>
        <v>-2712.1</v>
      </c>
      <c r="F9" s="72" t="n">
        <v>2714.8</v>
      </c>
    </row>
    <row r="10" customFormat="false" ht="15" hidden="false" customHeight="true" outlineLevel="0" collapsed="false">
      <c r="B10" s="76" t="s">
        <v>202</v>
      </c>
      <c r="C10" s="77" t="n">
        <f aca="false">Calculations!C33</f>
        <v>4</v>
      </c>
      <c r="D10" s="78" t="s">
        <v>76</v>
      </c>
    </row>
    <row r="11" customFormat="false" ht="15" hidden="false" customHeight="true" outlineLevel="0" collapsed="false">
      <c r="B11" s="79" t="s">
        <v>45</v>
      </c>
      <c r="C11" s="80" t="s">
        <v>203</v>
      </c>
      <c r="D11" s="81" t="s">
        <v>204</v>
      </c>
    </row>
    <row r="12" customFormat="false" ht="15" hidden="false" customHeight="true" outlineLevel="0" collapsed="false">
      <c r="B12" s="76" t="s">
        <v>205</v>
      </c>
      <c r="C12" s="77" t="s">
        <v>206</v>
      </c>
      <c r="D12" s="78" t="s">
        <v>76</v>
      </c>
    </row>
    <row r="13" customFormat="false" ht="15" hidden="false" customHeight="true" outlineLevel="0" collapsed="false">
      <c r="B13" s="79" t="s">
        <v>207</v>
      </c>
      <c r="C13" s="80" t="s">
        <v>208</v>
      </c>
      <c r="D13" s="81" t="s">
        <v>204</v>
      </c>
    </row>
    <row r="14" customFormat="false" ht="15" hidden="false" customHeight="true" outlineLevel="0" collapsed="false">
      <c r="B14" s="76" t="s">
        <v>209</v>
      </c>
      <c r="C14" s="77" t="s">
        <v>210</v>
      </c>
      <c r="D14" s="78" t="s">
        <v>76</v>
      </c>
    </row>
    <row r="15" customFormat="false" ht="6" hidden="false" customHeight="true" outlineLevel="0" collapsed="false"/>
    <row r="16" customFormat="false" ht="18" hidden="false" customHeight="true" outlineLevel="0" collapsed="false">
      <c r="B16" s="74" t="s">
        <v>211</v>
      </c>
      <c r="C16" s="74"/>
      <c r="D16" s="74"/>
    </row>
    <row r="17" customFormat="false" ht="15" hidden="false" customHeight="true" outlineLevel="0" collapsed="false">
      <c r="B17" s="75" t="s">
        <v>30</v>
      </c>
      <c r="C17" s="75" t="s">
        <v>31</v>
      </c>
      <c r="D17" s="75" t="s">
        <v>65</v>
      </c>
    </row>
    <row r="18" customFormat="false" ht="15" hidden="false" customHeight="true" outlineLevel="0" collapsed="false">
      <c r="B18" s="76" t="s">
        <v>212</v>
      </c>
      <c r="C18" s="77" t="n">
        <f aca="false">'Design Inputs'!E12</f>
        <v>6061</v>
      </c>
      <c r="D18" s="78" t="s">
        <v>6</v>
      </c>
    </row>
    <row r="19" customFormat="false" ht="15" hidden="false" customHeight="true" outlineLevel="0" collapsed="false">
      <c r="B19" s="79" t="s">
        <v>213</v>
      </c>
      <c r="C19" s="80" t="n">
        <f aca="false">Calculations!C10</f>
        <v>20001.3</v>
      </c>
      <c r="D19" s="81" t="s">
        <v>6</v>
      </c>
    </row>
    <row r="20" customFormat="false" ht="15" hidden="false" customHeight="true" outlineLevel="0" collapsed="false">
      <c r="B20" s="76" t="s">
        <v>75</v>
      </c>
      <c r="C20" s="77" t="n">
        <f aca="false">Calculations!C9</f>
        <v>3.3</v>
      </c>
      <c r="D20" s="78" t="s">
        <v>76</v>
      </c>
    </row>
    <row r="21" customFormat="false" ht="15" hidden="false" customHeight="true" outlineLevel="0" collapsed="false">
      <c r="B21" s="79" t="s">
        <v>214</v>
      </c>
      <c r="C21" s="80" t="n">
        <f aca="false">Calculations!C28</f>
        <v>26.4</v>
      </c>
      <c r="D21" s="81" t="s">
        <v>76</v>
      </c>
    </row>
    <row r="22" customFormat="false" ht="15" hidden="false" customHeight="true" outlineLevel="0" collapsed="false">
      <c r="B22" s="76" t="s">
        <v>215</v>
      </c>
      <c r="C22" s="77" t="n">
        <f aca="false">Calculations!C30</f>
        <v>1.05980375413255</v>
      </c>
      <c r="D22" s="78" t="s">
        <v>76</v>
      </c>
    </row>
    <row r="23" customFormat="false" ht="15" hidden="false" customHeight="true" outlineLevel="0" collapsed="false">
      <c r="B23" s="79" t="s">
        <v>216</v>
      </c>
      <c r="C23" s="80" t="n">
        <f aca="false">Calculations!C33</f>
        <v>4</v>
      </c>
      <c r="D23" s="81" t="s">
        <v>76</v>
      </c>
    </row>
    <row r="24" customFormat="false" ht="15" hidden="false" customHeight="true" outlineLevel="0" collapsed="false">
      <c r="B24" s="76" t="s">
        <v>217</v>
      </c>
      <c r="C24" s="77" t="n">
        <f aca="false">Calculations!C31</f>
        <v>0.3</v>
      </c>
      <c r="D24" s="78" t="s">
        <v>76</v>
      </c>
    </row>
    <row r="25" customFormat="false" ht="15" hidden="false" customHeight="true" outlineLevel="0" collapsed="false">
      <c r="B25" s="79" t="s">
        <v>218</v>
      </c>
      <c r="C25" s="80" t="n">
        <f aca="false">Calculations!C29</f>
        <v>0.97</v>
      </c>
      <c r="D25" s="81" t="s">
        <v>219</v>
      </c>
    </row>
    <row r="26" customFormat="false" ht="15" hidden="false" customHeight="true" outlineLevel="0" collapsed="false">
      <c r="B26" s="76" t="s">
        <v>220</v>
      </c>
      <c r="C26" s="77" t="s">
        <v>221</v>
      </c>
      <c r="D26" s="78" t="s">
        <v>204</v>
      </c>
    </row>
    <row r="27" customFormat="false" ht="15" hidden="false" customHeight="true" outlineLevel="0" collapsed="false">
      <c r="B27" s="79" t="s">
        <v>222</v>
      </c>
      <c r="C27" s="80" t="s">
        <v>223</v>
      </c>
      <c r="D27" s="81" t="s">
        <v>224</v>
      </c>
    </row>
    <row r="28" customFormat="false" ht="15" hidden="false" customHeight="true" outlineLevel="0" collapsed="false">
      <c r="B28" s="76" t="s">
        <v>225</v>
      </c>
      <c r="C28" s="77" t="s">
        <v>226</v>
      </c>
      <c r="D28" s="78" t="s">
        <v>76</v>
      </c>
    </row>
    <row r="30" customFormat="false" ht="6" hidden="false" customHeight="true" outlineLevel="0" collapsed="false"/>
    <row r="31" customFormat="false" ht="18" hidden="false" customHeight="true" outlineLevel="0" collapsed="false">
      <c r="B31" s="74" t="s">
        <v>227</v>
      </c>
      <c r="C31" s="74"/>
      <c r="D31" s="74"/>
    </row>
    <row r="32" customFormat="false" ht="15" hidden="false" customHeight="true" outlineLevel="0" collapsed="false">
      <c r="B32" s="82" t="s">
        <v>228</v>
      </c>
      <c r="C32" s="79" t="s">
        <v>229</v>
      </c>
      <c r="D32" s="79"/>
      <c r="J32" s="83" t="s">
        <v>230</v>
      </c>
    </row>
    <row r="33" customFormat="false" ht="15" hidden="false" customHeight="true" outlineLevel="0" collapsed="false">
      <c r="B33" s="83" t="s">
        <v>230</v>
      </c>
      <c r="C33" s="79" t="s">
        <v>231</v>
      </c>
      <c r="D33" s="79"/>
      <c r="J33" s="84" t="s">
        <v>232</v>
      </c>
    </row>
    <row r="34" customFormat="false" ht="15" hidden="false" customHeight="true" outlineLevel="0" collapsed="false">
      <c r="B34" s="84" t="s">
        <v>232</v>
      </c>
      <c r="C34" s="79" t="s">
        <v>233</v>
      </c>
      <c r="D34" s="79"/>
    </row>
    <row r="36" customFormat="false" ht="15" hidden="false" customHeight="false" outlineLevel="0" collapsed="false">
      <c r="B36" s="72" t="s">
        <v>234</v>
      </c>
      <c r="C36" s="85" t="n">
        <f aca="false">PI()/4*C8*((C7+0.01)^2-C7^2)</f>
        <v>0.0426235583275795</v>
      </c>
      <c r="D36" s="72" t="s">
        <v>235</v>
      </c>
    </row>
    <row r="37" customFormat="false" ht="15" hidden="false" customHeight="false" outlineLevel="0" collapsed="false">
      <c r="K37" s="72" t="n">
        <f aca="false">E9</f>
        <v>-2712.1</v>
      </c>
    </row>
    <row r="38" customFormat="false" ht="15" hidden="false" customHeight="false" outlineLevel="0" collapsed="false">
      <c r="J38" s="86" t="s">
        <v>194</v>
      </c>
      <c r="K38" s="86" t="n">
        <f aca="false">E10</f>
        <v>0</v>
      </c>
    </row>
  </sheetData>
  <mergeCells count="7">
    <mergeCell ref="B1:D2"/>
    <mergeCell ref="B4:D4"/>
    <mergeCell ref="B16:D16"/>
    <mergeCell ref="B31:D31"/>
    <mergeCell ref="C32:D32"/>
    <mergeCell ref="C33:D33"/>
    <mergeCell ref="C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2026-04-05T12:33:54Z</dcterms:created>
  <dc:creator>openpyxl</dc:creator>
  <dc:description/>
  <dc:language>en-US</dc:language>
  <cp:lastModifiedBy/>
  <dcterms:modified xsi:type="dcterms:W3CDTF">2026-04-15T19:38:35Z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