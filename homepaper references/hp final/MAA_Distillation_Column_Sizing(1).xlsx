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Feed &amp; Material Balance" sheetId="2" state="visible" r:id="rId4"/>
    <sheet name="Assumptions &amp; Basis" sheetId="3" state="visible" r:id="rId5"/>
    <sheet name="Condenser &amp; Reboiler Sizin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<sst xmlns="http://schemas.openxmlformats.org/spreadsheetml/2006/main" count="303" uniqueCount="257">
  <si>
    <t xml:space="preserve">Methacrylic Acid Purification — Distillation Train Sizing</t>
  </si>
  <si>
    <t xml:space="preserve">Shortcut design: Fenske–Underwood–Gilliland | Tray efficiency 60% | Sieve trays | Tray spacing 500 mm</t>
  </si>
  <si>
    <t xml:space="preserve">Parameter</t>
  </si>
  <si>
    <t xml:space="preserve">Column 1
nBA / Organics Splitter</t>
  </si>
  <si>
    <t xml:space="preserve">Column 2
nBA Recovery</t>
  </si>
  <si>
    <t xml:space="preserve">Column 3
MAA Purification</t>
  </si>
  <si>
    <t xml:space="preserve">Notes / Basis</t>
  </si>
  <si>
    <t xml:space="preserve">OPERATING CONDITIONS</t>
  </si>
  <si>
    <t xml:space="preserve">Pressure (kPa)</t>
  </si>
  <si>
    <t xml:space="preserve">C1 atm; C2–C3 vacuum to suppress MAA boiling point</t>
  </si>
  <si>
    <t xml:space="preserve">Approx. top temperature (°C)</t>
  </si>
  <si>
    <t xml:space="preserve">Estimated at operating pressure (normal bp of LK)</t>
  </si>
  <si>
    <t xml:space="preserve">Approx. bottom temperature (°C)</t>
  </si>
  <si>
    <t xml:space="preserve">Bottom dominated by MAA / heavy acids</t>
  </si>
  <si>
    <t xml:space="preserve">Feed condition (q)</t>
  </si>
  <si>
    <t xml:space="preserve">Saturated liquid assumed</t>
  </si>
  <si>
    <t xml:space="preserve">FEED &amp; KEY COMPONENTS</t>
  </si>
  <si>
    <t xml:space="preserve">Light key (LK)</t>
  </si>
  <si>
    <t xml:space="preserve">Acetic acid</t>
  </si>
  <si>
    <t xml:space="preserve">n-Butyl acetate</t>
  </si>
  <si>
    <t xml:space="preserve">Component that must go overhead</t>
  </si>
  <si>
    <t xml:space="preserve">Heavy key (HK)</t>
  </si>
  <si>
    <t xml:space="preserve">MAA</t>
  </si>
  <si>
    <t xml:space="preserve">Component that must stay in bottoms</t>
  </si>
  <si>
    <t xml:space="preserve">Relative volatility α (LK/HK)</t>
  </si>
  <si>
    <t xml:space="preserve">Estimated from Antoine eqns at column avg pressure</t>
  </si>
  <si>
    <t xml:space="preserve">FENSKE–UNDERWOOD–GILLILAND</t>
  </si>
  <si>
    <t xml:space="preserve">R_min  (Underwood method)</t>
  </si>
  <si>
    <t xml:space="preserve">Minimum reflux ratio</t>
  </si>
  <si>
    <t xml:space="preserve">R_op = 1.2 × R_min</t>
  </si>
  <si>
    <t xml:space="preserve">Operating reflux ratio (1.2× R_min)</t>
  </si>
  <si>
    <t xml:space="preserve">N_min  (Fenske equation)</t>
  </si>
  <si>
    <t xml:space="preserve">Minimum theoretical stages at total reflux</t>
  </si>
  <si>
    <t xml:space="preserve">N_theoretical  (Gilliland corr.)</t>
  </si>
  <si>
    <t xml:space="preserve">Theoretical stages at R_op</t>
  </si>
  <si>
    <t xml:space="preserve">Murphree tray efficiency</t>
  </si>
  <si>
    <t xml:space="preserve">60%</t>
  </si>
  <si>
    <t xml:space="preserve">Typical for sieve trays, organics/water systems</t>
  </si>
  <si>
    <t xml:space="preserve">N_actual  = N_th / efficiency</t>
  </si>
  <si>
    <t xml:space="preserve">Actual trays required (rounded up in practice)</t>
  </si>
  <si>
    <t xml:space="preserve">Feed tray location (from top)</t>
  </si>
  <si>
    <t xml:space="preserve">Optimal feed stage (Kirkbride equation estimate)</t>
  </si>
  <si>
    <t xml:space="preserve">COLUMN SIZING (F-FACTOR METHOD)</t>
  </si>
  <si>
    <t xml:space="preserve">Vapour flow at top (kg/s)</t>
  </si>
  <si>
    <t xml:space="preserve">From material balance + reflux ratio</t>
  </si>
  <si>
    <t xml:space="preserve">Vapour density at top (kg/m³)</t>
  </si>
  <si>
    <t xml:space="preserve">Estimated at operating P and top T</t>
  </si>
  <si>
    <t xml:space="preserve">F-factor limit (Pa⁰·⁵)</t>
  </si>
  <si>
    <t xml:space="preserve">Typical for sieve trays at 80% flood</t>
  </si>
  <si>
    <t xml:space="preserve">Net area required (m²)</t>
  </si>
  <si>
    <t xml:space="preserve">A_net = V_mass / (F_lim × ρ_v^0.5)</t>
  </si>
  <si>
    <t xml:space="preserve">Downcomer fraction</t>
  </si>
  <si>
    <t xml:space="preserve">12% of total cross-section area</t>
  </si>
  <si>
    <t xml:space="preserve">Total cross-section area (m²)</t>
  </si>
  <si>
    <t xml:space="preserve">A_total = A_net / (1 – DC fraction)</t>
  </si>
  <si>
    <t xml:space="preserve">Column diameter (m)</t>
  </si>
  <si>
    <t xml:space="preserve">D = (4·A / π)^0.5</t>
  </si>
  <si>
    <t xml:space="preserve">COLUMN HEIGHT</t>
  </si>
  <si>
    <t xml:space="preserve">Tray spacing (mm)</t>
  </si>
  <si>
    <t xml:space="preserve">Active tray section height (m)</t>
  </si>
  <si>
    <t xml:space="preserve">N_actual × tray_spacing</t>
  </si>
  <si>
    <t xml:space="preserve">Top disengagement space (m)</t>
  </si>
  <si>
    <t xml:space="preserve">Vapour disengagement above top tray</t>
  </si>
  <si>
    <t xml:space="preserve">Bottom sump height (m)</t>
  </si>
  <si>
    <t xml:space="preserve">Liquid hold-up below bottom tray</t>
  </si>
  <si>
    <t xml:space="preserve">Total column height (m)</t>
  </si>
  <si>
    <t xml:space="preserve">Tray section + top + bottom</t>
  </si>
  <si>
    <t xml:space="preserve">Thickness (m)</t>
  </si>
  <si>
    <t xml:space="preserve">column outer dia (m)</t>
  </si>
  <si>
    <t xml:space="preserve">Volume of the column</t>
  </si>
  <si>
    <t xml:space="preserve">Feed Composition &amp; Material Balance</t>
  </si>
  <si>
    <t xml:space="preserve">All flows in kg/h  |  Basis: extractor downstream feed</t>
  </si>
  <si>
    <t xml:space="preserve">Component</t>
  </si>
  <si>
    <t xml:space="preserve">Feed to C1
(kg/h)</t>
  </si>
  <si>
    <t xml:space="preserve">C1 bottoms
(kg/h)</t>
  </si>
  <si>
    <t xml:space="preserve">C1 distillate
(kg/h)</t>
  </si>
  <si>
    <t xml:space="preserve">C2 distillate
nBA product (kg/h)</t>
  </si>
  <si>
    <t xml:space="preserve">C2 Bottoms
(kg/h)</t>
  </si>
  <si>
    <t xml:space="preserve">C3 Distillate
(kg/h)</t>
  </si>
  <si>
    <t xml:space="preserve">c3 Bottoms (kg/h)</t>
  </si>
  <si>
    <t xml:space="preserve">MAA (methacrylic acid)</t>
  </si>
  <si>
    <t xml:space="preserve">Methacrolein</t>
  </si>
  <si>
    <t xml:space="preserve">Acrylic acid</t>
  </si>
  <si>
    <t xml:space="preserve">Water</t>
  </si>
  <si>
    <t xml:space="preserve">n-Butyl acetate (nBA)</t>
  </si>
  <si>
    <t xml:space="preserve">TOTAL</t>
  </si>
  <si>
    <t xml:space="preserve">MEHQ</t>
  </si>
  <si>
    <t xml:space="preserve">C3 BOTTOMS — MAA PRODUCT SUMMARY</t>
  </si>
  <si>
    <t xml:space="preserve">MAA in C3 bottoms (kg/h)</t>
  </si>
  <si>
    <t xml:space="preserve">Total C3 bottoms (kg/h)</t>
  </si>
  <si>
    <t xml:space="preserve">MAA purity (wt%)</t>
  </si>
  <si>
    <t xml:space="preserve">Target ≥ 99.5 wt%</t>
  </si>
  <si>
    <t xml:space="preserve">MAA recovery vs. feed (%)</t>
  </si>
  <si>
    <t xml:space="preserve">Target &gt; 1900 kg/h (≥ 92%)</t>
  </si>
  <si>
    <t xml:space="preserve">Design Assumptions &amp; Engineering Basis</t>
  </si>
  <si>
    <t xml:space="preserve">GENERAL</t>
  </si>
  <si>
    <t xml:space="preserve">Design method</t>
  </si>
  <si>
    <t xml:space="preserve">FUG shortcut</t>
  </si>
  <si>
    <t xml:space="preserve">Fenske–Underwood–Gilliland; rigorous simulation recommended</t>
  </si>
  <si>
    <t xml:space="preserve">Tray type</t>
  </si>
  <si>
    <t xml:space="preserve">Sieve trays</t>
  </si>
  <si>
    <t xml:space="preserve">Standard perforated sieve trays</t>
  </si>
  <si>
    <t xml:space="preserve">Tray spacing</t>
  </si>
  <si>
    <t xml:space="preserve">500 mm</t>
  </si>
  <si>
    <t xml:space="preserve">Industry standard; allows maintenance access</t>
  </si>
  <si>
    <t xml:space="preserve">Murphree efficiency</t>
  </si>
  <si>
    <t xml:space="preserve">Typical for organics + water; verify with vendor</t>
  </si>
  <si>
    <t xml:space="preserve">Reflux multiplier</t>
  </si>
  <si>
    <t xml:space="preserve">1.2 × R_min</t>
  </si>
  <si>
    <t xml:space="preserve">Conservative; optimise in detailed design</t>
  </si>
  <si>
    <t xml:space="preserve">Flood fraction</t>
  </si>
  <si>
    <t xml:space="preserve">80%</t>
  </si>
  <si>
    <t xml:space="preserve">Design at 80% of flooding velocity</t>
  </si>
  <si>
    <t xml:space="preserve">F-factor limit</t>
  </si>
  <si>
    <t xml:space="preserve">1.0 Pa⁰·⁵</t>
  </si>
  <si>
    <t xml:space="preserve">Sieve tray upper limit at 500 mm spacing</t>
  </si>
  <si>
    <t xml:space="preserve">Downcomer area</t>
  </si>
  <si>
    <t xml:space="preserve">12% of total</t>
  </si>
  <si>
    <t xml:space="preserve">Typical for moderate liquid loads</t>
  </si>
  <si>
    <t xml:space="preserve">Top/bottom height allowance</t>
  </si>
  <si>
    <t xml:space="preserve">1.5 m each</t>
  </si>
  <si>
    <t xml:space="preserve">Vapour disengagement + sump volume</t>
  </si>
  <si>
    <t xml:space="preserve">PROCESS SAFETY — MAA POLYMERISATION</t>
  </si>
  <si>
    <t xml:space="preserve">MAA auto-polymerisation risk</t>
  </si>
  <si>
    <t xml:space="preserve">Above ~80°C</t>
  </si>
  <si>
    <t xml:space="preserve">Free-radical exothermic polymerisation; must be suppressed</t>
  </si>
  <si>
    <t xml:space="preserve">Inhibitor (reboiler)</t>
  </si>
  <si>
    <t xml:space="preserve">MEHQ / HQ 200–500 ppm</t>
  </si>
  <si>
    <t xml:space="preserve">Must be added continuously; ensure oxygen co-feed if using MEHQ</t>
  </si>
  <si>
    <t xml:space="preserve">Inhibitor (overhead)</t>
  </si>
  <si>
    <t xml:space="preserve">MEHQ 50–100 ppm</t>
  </si>
  <si>
    <t xml:space="preserve">Protect condenser and reflux drum</t>
  </si>
  <si>
    <t xml:space="preserve">Reboiler type</t>
  </si>
  <si>
    <t xml:space="preserve">Thermosiphon preferred</t>
  </si>
  <si>
    <t xml:space="preserve">Minimise residence time; avoid kettle reboiler for MAA service</t>
  </si>
  <si>
    <t xml:space="preserve">C3 base temperature</t>
  </si>
  <si>
    <t xml:space="preserve">~75–80 °C at 12 kPa</t>
  </si>
  <si>
    <t xml:space="preserve">Safe operating window below polymerisation threshold</t>
  </si>
  <si>
    <t xml:space="preserve">THERMODYNAMIC BASIS</t>
  </si>
  <si>
    <t xml:space="preserve">VLE model recommended</t>
  </si>
  <si>
    <t xml:space="preserve">NRTL or UNIQUAC</t>
  </si>
  <si>
    <t xml:space="preserve">MAA–water–acetic acid system is highly non-ideal</t>
  </si>
  <si>
    <t xml:space="preserve">Azeotrope check</t>
  </si>
  <si>
    <t xml:space="preserve">MAA–water</t>
  </si>
  <si>
    <t xml:space="preserve">Check for azeotrope; may affect C3 design</t>
  </si>
  <si>
    <t xml:space="preserve">Relative volatility source</t>
  </si>
  <si>
    <t xml:space="preserve">Antoine equation estimates</t>
  </si>
  <si>
    <t xml:space="preserve">Validate with literature / simulator at operating P</t>
  </si>
  <si>
    <t xml:space="preserve">NEXT STEPS FOR DETAILED DESIGN</t>
  </si>
  <si>
    <t xml:space="preserve">Rigorous simulation</t>
  </si>
  <si>
    <t xml:space="preserve">Aspen Plus / ProMax</t>
  </si>
  <si>
    <t xml:space="preserve">Use RadFrac with validated VLE parameters</t>
  </si>
  <si>
    <t xml:space="preserve">Hydraulic check</t>
  </si>
  <si>
    <t xml:space="preserve">Vendor tray rating</t>
  </si>
  <si>
    <t xml:space="preserve">Confirm weir height, downcomer backup, entrainment</t>
  </si>
  <si>
    <t xml:space="preserve">Heat integration</t>
  </si>
  <si>
    <t xml:space="preserve">Pinch analysis</t>
  </si>
  <si>
    <t xml:space="preserve">C1 condenser / C2 reboiler heat integration potential</t>
  </si>
  <si>
    <t xml:space="preserve">Inhibitor dosing system</t>
  </si>
  <si>
    <t xml:space="preserve">Continuous injection</t>
  </si>
  <si>
    <t xml:space="preserve">Required for all three columns and condensers</t>
  </si>
  <si>
    <t xml:space="preserve">Methacrylic Acid Purification — Condenser &amp; Reboiler Heat Duty + Utility Requirements</t>
  </si>
  <si>
    <t xml:space="preserve">Basis: Latent heat method  |  LP Steam @ 3 barg (143 °C, λ = 2133 kJ/kg)  |  Cooling Water inlet 30 °C → outlet 45 °C  |  All duties in kW</t>
  </si>
  <si>
    <t xml:space="preserve">Units</t>
  </si>
  <si>
    <t xml:space="preserve">A.  FEED &amp; FLOW BASIS  (from Feed &amp; Material Balance sheet)</t>
  </si>
  <si>
    <t xml:space="preserve">Distillate (overhead) flow rates</t>
  </si>
  <si>
    <t xml:space="preserve">Distillate flow rate (D)</t>
  </si>
  <si>
    <t xml:space="preserve">kg/h</t>
  </si>
  <si>
    <t xml:space="preserve">From Material Balance sheet — total distillate of each column</t>
  </si>
  <si>
    <t xml:space="preserve">Bottoms flow rate (B)</t>
  </si>
  <si>
    <t xml:space="preserve">From Material Balance sheet — total bottoms of each column</t>
  </si>
  <si>
    <t xml:space="preserve">Feed flow rate (F = D + B)</t>
  </si>
  <si>
    <t xml:space="preserve">Cross-check: F = D + B (should match feed total)</t>
  </si>
  <si>
    <t xml:space="preserve">Operating reflux ratio (R)</t>
  </si>
  <si>
    <t xml:space="preserve">—</t>
  </si>
  <si>
    <t xml:space="preserve">From Summary sheet (R_op = 1.2 × R_min)</t>
  </si>
  <si>
    <t xml:space="preserve">Vapour flow at top, V = D × (R + 1)</t>
  </si>
  <si>
    <t xml:space="preserve">kg/s</t>
  </si>
  <si>
    <t xml:space="preserve">Overhead vapour load; /3600 to convert kg/h → kg/s</t>
  </si>
  <si>
    <t xml:space="preserve">B.  CONDENSER DUTY  (total condensation assumed — sub-cooling neglected)</t>
  </si>
  <si>
    <t xml:space="preserve">Latent heat of vaporisation at condenser pressure</t>
  </si>
  <si>
    <t xml:space="preserve">Condenser pressure (kPa)</t>
  </si>
  <si>
    <t xml:space="preserve">kPa</t>
  </si>
  <si>
    <t xml:space="preserve">From Summary sheet (same as column top pressure)</t>
  </si>
  <si>
    <t xml:space="preserve">°C</t>
  </si>
  <si>
    <t xml:space="preserve">From Summary sheet — temperature at condenser</t>
  </si>
  <si>
    <t xml:space="preserve">Latent heat λ_cond (weighted avg)</t>
  </si>
  <si>
    <t xml:space="preserve">kJ/kg</t>
  </si>
  <si>
    <t xml:space="preserve">Weighted avg λ of overhead mixture at top T &amp; P. C1: nBA-rich (λ≈360-400); C2: nBA/AcOH (λ≈400-440); C3: AcOH/water rich (λ≈450-500). Verify with simulator.</t>
  </si>
  <si>
    <t xml:space="preserve">Condenser duty Q_cond = V × λ_cond</t>
  </si>
  <si>
    <t xml:space="preserve">W</t>
  </si>
  <si>
    <t xml:space="preserve">Q = mass_flow_vapour (kg/s) × latent heat (kJ/kg) × 1000</t>
  </si>
  <si>
    <t xml:space="preserve">Condenser duty Q_cond</t>
  </si>
  <si>
    <t xml:space="preserve">kW</t>
  </si>
  <si>
    <t xml:space="preserve">Heat removed by condenser</t>
  </si>
  <si>
    <t xml:space="preserve">MW</t>
  </si>
  <si>
    <t xml:space="preserve">Condenser duty in MW for reference</t>
  </si>
  <si>
    <t xml:space="preserve">C.  REBOILER DUTY  (energy balance:  Q_reb ≈ Q_cond + column heat losses ≈ Q_cond × 1.05)</t>
  </si>
  <si>
    <t xml:space="preserve">Heat loss factor (reboiler / condenser)</t>
  </si>
  <si>
    <t xml:space="preserve">5% added for heat losses, feed sensible heat, and instrument uncertainty. Adjust in detailed design.</t>
  </si>
  <si>
    <t xml:space="preserve">Reboiler duty Q_reb = Q_cond × factor</t>
  </si>
  <si>
    <t xml:space="preserve">Reboiler heat input required at base of column</t>
  </si>
  <si>
    <t xml:space="preserve">Reboiler duty Q_reb</t>
  </si>
  <si>
    <t xml:space="preserve">Reboiler duty in MW for reference</t>
  </si>
  <si>
    <t xml:space="preserve">From Summary sheet — reboiler temperature</t>
  </si>
  <si>
    <t xml:space="preserve">Latent heat λ_btm (weighted avg)</t>
  </si>
  <si>
    <t xml:space="preserve">Weighted avg λ of bottoms mixture at bottom T. Similar method to condenser — validate with simulator.</t>
  </si>
  <si>
    <t xml:space="preserve">Bottoms vapour rate L_v = Q_reb / λ_btm</t>
  </si>
  <si>
    <t xml:space="preserve">kg/s·(kJ/kg)/kW</t>
  </si>
  <si>
    <t xml:space="preserve">Note: kW / (kJ/kg) → kg/s. Indicative vaporisation rate at reboiler.</t>
  </si>
  <si>
    <t xml:space="preserve">D.  COOLING WATER REQUIREMENT  (Condenser utility)</t>
  </si>
  <si>
    <t xml:space="preserve">Design basis: CW supply 30 °C, return 45 °C  |  Cp,water = 4.186 kJ/(kg·K)</t>
  </si>
  <si>
    <t xml:space="preserve">CW inlet temperature T_in</t>
  </si>
  <si>
    <t xml:space="preserve">Cooling tower supply temperature — typical for Indian climate (conservative)</t>
  </si>
  <si>
    <t xml:space="preserve">CW outlet temperature T_out</t>
  </si>
  <si>
    <t xml:space="preserve">Maximum return temperature; limited by fouling / biological growth</t>
  </si>
  <si>
    <t xml:space="preserve">ΔT_CW = T_out − T_in</t>
  </si>
  <si>
    <t xml:space="preserve">Temperature rise across condenser</t>
  </si>
  <si>
    <t xml:space="preserve">Cp of water</t>
  </si>
  <si>
    <t xml:space="preserve">kJ/(kg·K)</t>
  </si>
  <si>
    <t xml:space="preserve">Specific heat capacity of water at ~37 °C mean</t>
  </si>
  <si>
    <t xml:space="preserve">Cooling water flowrate ṁ_CW = Q_cond / (Cp × ΔT)</t>
  </si>
  <si>
    <t xml:space="preserve">Mass flow of cooling water required per condenser</t>
  </si>
  <si>
    <t xml:space="preserve">Cooling water flowrate ṁ_CW</t>
  </si>
  <si>
    <t xml:space="preserve">CW flow in kg/h (×3600)</t>
  </si>
  <si>
    <t xml:space="preserve">t/h</t>
  </si>
  <si>
    <t xml:space="preserve">CW flow in metric t/h — for cooling tower sizing</t>
  </si>
  <si>
    <t xml:space="preserve">Minimum condenser LMTD check</t>
  </si>
  <si>
    <t xml:space="preserve">Top temperature − CW inlet; must be &gt; 10 °C for feasible heat transfer</t>
  </si>
  <si>
    <t xml:space="preserve">E.  LOW PRESSURE STEAM REQUIREMENT  (Reboiler utility)</t>
  </si>
  <si>
    <t xml:space="preserve">LP Steam basis: 3 barg saturation (143 °C)  |  λ_steam = 2133 kJ/kg  |  condensate returned at 143 °C</t>
  </si>
  <si>
    <t xml:space="preserve">LP Steam saturation temperature T_sat</t>
  </si>
  <si>
    <t xml:space="preserve">Saturation temperature of LP steam at 3 barg (413 kPa abs)</t>
  </si>
  <si>
    <t xml:space="preserve">LP Steam latent heat λ_steam</t>
  </si>
  <si>
    <t xml:space="preserve">Latent heat of vaporisation for steam at 3 barg — from steam tables</t>
  </si>
  <si>
    <t xml:space="preserve">LP Steam flowrate ṁ_steam = Q_reb / λ_steam</t>
  </si>
  <si>
    <t xml:space="preserve">Steam condensation rate in reboiler</t>
  </si>
  <si>
    <t xml:space="preserve">LP Steam flowrate ṁ_steam</t>
  </si>
  <si>
    <t xml:space="preserve">Steam consumption in kg/h</t>
  </si>
  <si>
    <t xml:space="preserve">Steam consumption in metric t/h — for boiler / steam header sizing</t>
  </si>
  <si>
    <t xml:space="preserve">Steam-to-bottom ΔT (T_sat − T_btm)</t>
  </si>
  <si>
    <t xml:space="preserve">Driving force: must be &gt; 15-20 °C. CAUTION: C3 bottom is 80 °C → steam ΔT = 63 °C — adequate.</t>
  </si>
  <si>
    <t xml:space="preserve">Reboiler approach check — feasible?</t>
  </si>
  <si>
    <t xml:space="preserve">Flag if steam ΔT &lt; 15 °C; increase steam pressure or re-evaluate</t>
  </si>
  <si>
    <t xml:space="preserve">F.  UTILITY SUMMARY</t>
  </si>
  <si>
    <t xml:space="preserve">All three columns combined — headline numbers for utility system design</t>
  </si>
  <si>
    <t xml:space="preserve">Heat removed; condenser sized on this</t>
  </si>
  <si>
    <t xml:space="preserve">Heat added; reboiler sized on this</t>
  </si>
  <si>
    <t xml:space="preserve">Cooling water ṁ_CW</t>
  </si>
  <si>
    <t xml:space="preserve">Cooling water consumption per column</t>
  </si>
  <si>
    <t xml:space="preserve">LP Steam ṁ_steam</t>
  </si>
  <si>
    <t xml:space="preserve">LP steam consumption per column</t>
  </si>
  <si>
    <t xml:space="preserve">TOTAL CW (all 3 columns combined)</t>
  </si>
  <si>
    <t xml:space="preserve">← sum of C1+C2+C3</t>
  </si>
  <si>
    <t xml:space="preserve">Total cooling water header load — for cooling tower design</t>
  </si>
  <si>
    <t xml:space="preserve">TOTAL LP STEAM (all 3 columns combined)</t>
  </si>
  <si>
    <t xml:space="preserve">Total LP steam header load — for boiler / steam generation design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</si>
</sst>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"/>
    <numFmt numFmtId="166" formatCode="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1" activeCellId="0" sqref="F2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0"/>
    <col collapsed="false" customWidth="true" hidden="false" outlineLevel="0" max="5" min="5" style="1" width="38"/>
    <col collapsed="false" customWidth="false" hidden="false" outlineLevel="0" max="16384" min="6" style="1" width="8.68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13.5" hidden="false" customHeight="true" outlineLevel="0" collapsed="false"/>
    <row r="4" customFormat="false" ht="36" hidden="false" customHeight="true" outlineLevel="0" collapsed="false">
      <c r="A4" s="1" t="s">
        <v>2</v>
      </c>
      <c r="B4" s="3" t="s">
        <v>3</v>
      </c>
      <c r="C4" s="3" t="s">
        <v>4</v>
      </c>
      <c r="D4" s="3" t="s">
        <v>5</v>
      </c>
      <c r="E4" s="1" t="s">
        <v>6</v>
      </c>
    </row>
    <row r="5" customFormat="false" ht="18" hidden="false" customHeight="true" outlineLevel="0" collapsed="false">
      <c r="A5" s="2" t="s">
        <v>7</v>
      </c>
      <c r="B5" s="2"/>
      <c r="C5" s="2"/>
      <c r="D5" s="2"/>
      <c r="E5" s="2"/>
    </row>
    <row r="6" customFormat="false" ht="18" hidden="false" customHeight="true" outlineLevel="0" collapsed="false">
      <c r="A6" s="1" t="s">
        <v>8</v>
      </c>
      <c r="B6" s="1" t="n">
        <v>101.3</v>
      </c>
      <c r="C6" s="1" t="n">
        <v>45</v>
      </c>
      <c r="D6" s="1" t="n">
        <v>12</v>
      </c>
      <c r="E6" s="1" t="s">
        <v>9</v>
      </c>
    </row>
    <row r="7" customFormat="false" ht="18" hidden="false" customHeight="true" outlineLevel="0" collapsed="false">
      <c r="A7" s="1" t="s">
        <v>10</v>
      </c>
      <c r="B7" s="1" t="n">
        <v>125</v>
      </c>
      <c r="C7" s="1" t="n">
        <v>90</v>
      </c>
      <c r="D7" s="1" t="n">
        <v>65</v>
      </c>
      <c r="E7" s="1" t="s">
        <v>11</v>
      </c>
    </row>
    <row r="8" customFormat="false" ht="18" hidden="false" customHeight="true" outlineLevel="0" collapsed="false">
      <c r="A8" s="1" t="s">
        <v>12</v>
      </c>
      <c r="B8" s="1" t="n">
        <v>155</v>
      </c>
      <c r="C8" s="1" t="n">
        <v>135</v>
      </c>
      <c r="D8" s="1" t="n">
        <v>80</v>
      </c>
      <c r="E8" s="1" t="s">
        <v>13</v>
      </c>
    </row>
    <row r="9" customFormat="false" ht="18" hidden="false" customHeight="true" outlineLevel="0" collapsed="false">
      <c r="A9" s="1" t="s">
        <v>14</v>
      </c>
      <c r="B9" s="1" t="n">
        <v>1</v>
      </c>
      <c r="C9" s="1" t="n">
        <v>1</v>
      </c>
      <c r="D9" s="1" t="n">
        <v>1</v>
      </c>
      <c r="E9" s="1" t="s">
        <v>15</v>
      </c>
    </row>
    <row r="10" customFormat="false" ht="18" hidden="false" customHeight="true" outlineLevel="0" collapsed="false">
      <c r="A10" s="2" t="s">
        <v>16</v>
      </c>
      <c r="B10" s="2"/>
      <c r="C10" s="2"/>
      <c r="D10" s="2"/>
      <c r="E10" s="2"/>
    </row>
    <row r="11" customFormat="false" ht="18" hidden="false" customHeight="true" outlineLevel="0" collapsed="false">
      <c r="A11" s="1" t="s">
        <v>17</v>
      </c>
      <c r="B11" s="1" t="s">
        <v>18</v>
      </c>
      <c r="C11" s="1" t="s">
        <v>19</v>
      </c>
      <c r="D11" s="1" t="s">
        <v>18</v>
      </c>
      <c r="E11" s="1" t="s">
        <v>20</v>
      </c>
    </row>
    <row r="12" customFormat="false" ht="18" hidden="false" customHeight="true" outlineLevel="0" collapsed="false">
      <c r="A12" s="1" t="s">
        <v>21</v>
      </c>
      <c r="B12" s="1" t="s">
        <v>22</v>
      </c>
      <c r="C12" s="1" t="s">
        <v>18</v>
      </c>
      <c r="D12" s="1" t="s">
        <v>22</v>
      </c>
      <c r="E12" s="1" t="s">
        <v>23</v>
      </c>
    </row>
    <row r="13" customFormat="false" ht="18" hidden="false" customHeight="true" outlineLevel="0" collapsed="false">
      <c r="A13" s="1" t="s">
        <v>24</v>
      </c>
      <c r="B13" s="1" t="n">
        <v>3.8</v>
      </c>
      <c r="C13" s="1" t="n">
        <v>5.2</v>
      </c>
      <c r="D13" s="1" t="n">
        <v>6.1</v>
      </c>
      <c r="E13" s="1" t="s">
        <v>25</v>
      </c>
    </row>
    <row r="14" customFormat="false" ht="18" hidden="false" customHeight="true" outlineLevel="0" collapsed="false">
      <c r="A14" s="2" t="s">
        <v>26</v>
      </c>
      <c r="B14" s="2"/>
      <c r="C14" s="2"/>
      <c r="D14" s="2"/>
      <c r="E14" s="2"/>
    </row>
    <row r="15" customFormat="false" ht="18" hidden="false" customHeight="true" outlineLevel="0" collapsed="false">
      <c r="A15" s="1" t="s">
        <v>27</v>
      </c>
      <c r="B15" s="1" t="n">
        <v>0.85</v>
      </c>
      <c r="C15" s="1" t="n">
        <v>0.6</v>
      </c>
      <c r="D15" s="1" t="n">
        <v>1.1</v>
      </c>
      <c r="E15" s="1" t="s">
        <v>28</v>
      </c>
    </row>
    <row r="16" customFormat="false" ht="18" hidden="false" customHeight="true" outlineLevel="0" collapsed="false">
      <c r="A16" s="1" t="s">
        <v>29</v>
      </c>
      <c r="B16" s="1" t="n">
        <f aca="false">B15*1.2</f>
        <v>1.02</v>
      </c>
      <c r="C16" s="1" t="n">
        <f aca="false">C15*1.2</f>
        <v>0.72</v>
      </c>
      <c r="D16" s="1" t="n">
        <f aca="false">D15*1.2</f>
        <v>1.32</v>
      </c>
      <c r="E16" s="1" t="s">
        <v>30</v>
      </c>
    </row>
    <row r="17" customFormat="false" ht="18" hidden="false" customHeight="true" outlineLevel="0" collapsed="false">
      <c r="A17" s="1" t="s">
        <v>31</v>
      </c>
      <c r="B17" s="1" t="n">
        <v>6</v>
      </c>
      <c r="C17" s="1" t="n">
        <v>5</v>
      </c>
      <c r="D17" s="1" t="n">
        <v>8</v>
      </c>
      <c r="E17" s="1" t="s">
        <v>32</v>
      </c>
    </row>
    <row r="18" customFormat="false" ht="18" hidden="false" customHeight="true" outlineLevel="0" collapsed="false">
      <c r="A18" s="1" t="s">
        <v>33</v>
      </c>
      <c r="B18" s="1" t="n">
        <v>14</v>
      </c>
      <c r="C18" s="1" t="n">
        <v>12</v>
      </c>
      <c r="D18" s="1" t="n">
        <v>18</v>
      </c>
      <c r="E18" s="1" t="s">
        <v>34</v>
      </c>
    </row>
    <row r="19" customFormat="false" ht="18" hidden="false" customHeight="true" outlineLevel="0" collapsed="false">
      <c r="A19" s="1" t="s">
        <v>35</v>
      </c>
      <c r="B19" s="1" t="s">
        <v>36</v>
      </c>
      <c r="C19" s="1" t="s">
        <v>36</v>
      </c>
      <c r="D19" s="1" t="s">
        <v>36</v>
      </c>
      <c r="E19" s="1" t="s">
        <v>37</v>
      </c>
    </row>
    <row r="20" customFormat="false" ht="18" hidden="false" customHeight="true" outlineLevel="0" collapsed="false">
      <c r="A20" s="1" t="s">
        <v>38</v>
      </c>
      <c r="B20" s="1" t="n">
        <f aca="false">B15/0.6</f>
        <v>1.41666666666667</v>
      </c>
      <c r="C20" s="1" t="n">
        <f aca="false">C15/0.6</f>
        <v>1</v>
      </c>
      <c r="D20" s="1" t="n">
        <f aca="false">D15/0.6</f>
        <v>1.83333333333333</v>
      </c>
      <c r="E20" s="1" t="s">
        <v>39</v>
      </c>
    </row>
    <row r="21" customFormat="false" ht="18" hidden="false" customHeight="true" outlineLevel="0" collapsed="false">
      <c r="A21" s="1" t="s">
        <v>40</v>
      </c>
      <c r="B21" s="1" t="n">
        <v>12</v>
      </c>
      <c r="C21" s="1" t="n">
        <v>10</v>
      </c>
      <c r="D21" s="1" t="n">
        <v>18</v>
      </c>
      <c r="E21" s="1" t="s">
        <v>41</v>
      </c>
    </row>
    <row r="22" customFormat="false" ht="18" hidden="false" customHeight="true" outlineLevel="0" collapsed="false">
      <c r="A22" s="2" t="s">
        <v>42</v>
      </c>
      <c r="B22" s="2"/>
      <c r="C22" s="2"/>
      <c r="D22" s="2"/>
      <c r="E22" s="2"/>
    </row>
    <row r="23" customFormat="false" ht="18" hidden="false" customHeight="true" outlineLevel="0" collapsed="false">
      <c r="A23" s="1" t="s">
        <v>43</v>
      </c>
      <c r="B23" s="1" t="n">
        <v>4.8</v>
      </c>
      <c r="C23" s="1" t="n">
        <v>5.9</v>
      </c>
      <c r="D23" s="1" t="n">
        <v>0.78</v>
      </c>
      <c r="E23" s="1" t="s">
        <v>44</v>
      </c>
    </row>
    <row r="24" customFormat="false" ht="18" hidden="false" customHeight="true" outlineLevel="0" collapsed="false">
      <c r="A24" s="1" t="s">
        <v>45</v>
      </c>
      <c r="B24" s="1" t="n">
        <v>3.2</v>
      </c>
      <c r="C24" s="1" t="n">
        <v>2.1</v>
      </c>
      <c r="D24" s="1" t="n">
        <v>0.85</v>
      </c>
      <c r="E24" s="1" t="s">
        <v>46</v>
      </c>
    </row>
    <row r="25" customFormat="false" ht="18" hidden="false" customHeight="true" outlineLevel="0" collapsed="false">
      <c r="A25" s="1" t="s">
        <v>47</v>
      </c>
      <c r="B25" s="1" t="n">
        <v>1</v>
      </c>
      <c r="C25" s="1" t="n">
        <v>1</v>
      </c>
      <c r="D25" s="1" t="n">
        <v>1</v>
      </c>
      <c r="E25" s="1" t="s">
        <v>48</v>
      </c>
    </row>
    <row r="26" customFormat="false" ht="18" hidden="false" customHeight="true" outlineLevel="0" collapsed="false">
      <c r="A26" s="1" t="s">
        <v>49</v>
      </c>
      <c r="B26" s="1" t="n">
        <f aca="false">B23/(B25*B24^0.5)</f>
        <v>2.68328157299975</v>
      </c>
      <c r="C26" s="1" t="n">
        <f aca="false">C23/(C25*C24^0.5)</f>
        <v>4.07138680011989</v>
      </c>
      <c r="D26" s="1" t="n">
        <f aca="false">D23/(D25*D24^0.5)</f>
        <v>0.846028785492759</v>
      </c>
      <c r="E26" s="1" t="s">
        <v>50</v>
      </c>
    </row>
    <row r="27" customFormat="false" ht="18" hidden="false" customHeight="true" outlineLevel="0" collapsed="false">
      <c r="A27" s="1" t="s">
        <v>51</v>
      </c>
      <c r="B27" s="1" t="n">
        <v>0.12</v>
      </c>
      <c r="C27" s="1" t="n">
        <v>0.12</v>
      </c>
      <c r="D27" s="1" t="n">
        <v>0.12</v>
      </c>
      <c r="E27" s="1" t="s">
        <v>52</v>
      </c>
    </row>
    <row r="28" customFormat="false" ht="18" hidden="false" customHeight="true" outlineLevel="0" collapsed="false">
      <c r="A28" s="1" t="s">
        <v>53</v>
      </c>
      <c r="B28" s="1" t="n">
        <f aca="false">B26/(1-B27)</f>
        <v>3.04918360568153</v>
      </c>
      <c r="C28" s="1" t="n">
        <f aca="false">C26/(1-C27)</f>
        <v>4.62657590922715</v>
      </c>
      <c r="D28" s="1" t="n">
        <f aca="false">D26/(1-D27)</f>
        <v>0.961396347150863</v>
      </c>
      <c r="E28" s="1" t="s">
        <v>54</v>
      </c>
    </row>
    <row r="29" customFormat="false" ht="18" hidden="false" customHeight="true" outlineLevel="0" collapsed="false">
      <c r="A29" s="1" t="s">
        <v>55</v>
      </c>
      <c r="B29" s="1" t="n">
        <f aca="false">ROUND((4*B28/PI())^0.5,1)</f>
        <v>2</v>
      </c>
      <c r="C29" s="1" t="n">
        <f aca="false">ROUND((4*C28/PI())^0.5,1)</f>
        <v>2.4</v>
      </c>
      <c r="D29" s="1" t="n">
        <f aca="false">ROUND((4*D28/PI())^0.5,1)</f>
        <v>1.1</v>
      </c>
      <c r="E29" s="1" t="s">
        <v>56</v>
      </c>
    </row>
    <row r="30" customFormat="false" ht="18" hidden="false" customHeight="true" outlineLevel="0" collapsed="false">
      <c r="A30" s="1" t="s">
        <v>57</v>
      </c>
    </row>
    <row r="31" customFormat="false" ht="18" hidden="false" customHeight="true" outlineLevel="0" collapsed="false">
      <c r="A31" s="1" t="s">
        <v>58</v>
      </c>
      <c r="B31" s="1" t="n">
        <v>500</v>
      </c>
      <c r="C31" s="1" t="n">
        <v>500</v>
      </c>
      <c r="D31" s="1" t="n">
        <v>500</v>
      </c>
    </row>
    <row r="32" customFormat="false" ht="18" hidden="false" customHeight="true" outlineLevel="0" collapsed="false">
      <c r="A32" s="1" t="s">
        <v>59</v>
      </c>
      <c r="B32" s="1" t="n">
        <f aca="false">ROUND(B20*B31/1000,1)</f>
        <v>0.7</v>
      </c>
      <c r="C32" s="1" t="n">
        <f aca="false">ROUND(C20*C31/1000,1)</f>
        <v>0.5</v>
      </c>
      <c r="D32" s="1" t="n">
        <f aca="false">ROUND(D20*D31/1000,1)</f>
        <v>0.9</v>
      </c>
      <c r="E32" s="1" t="s">
        <v>60</v>
      </c>
    </row>
    <row r="33" customFormat="false" ht="18" hidden="false" customHeight="true" outlineLevel="0" collapsed="false">
      <c r="A33" s="1" t="s">
        <v>61</v>
      </c>
      <c r="B33" s="1" t="n">
        <v>1.5</v>
      </c>
      <c r="C33" s="1" t="n">
        <v>1.5</v>
      </c>
      <c r="D33" s="1" t="n">
        <v>1.5</v>
      </c>
      <c r="E33" s="1" t="s">
        <v>62</v>
      </c>
    </row>
    <row r="34" customFormat="false" ht="18" hidden="false" customHeight="true" outlineLevel="0" collapsed="false">
      <c r="A34" s="1" t="s">
        <v>63</v>
      </c>
      <c r="B34" s="1" t="n">
        <v>1.5</v>
      </c>
      <c r="C34" s="1" t="n">
        <v>1.5</v>
      </c>
      <c r="D34" s="1" t="n">
        <v>1.5</v>
      </c>
      <c r="E34" s="1" t="s">
        <v>64</v>
      </c>
    </row>
    <row r="35" customFormat="false" ht="18" hidden="false" customHeight="true" outlineLevel="0" collapsed="false">
      <c r="A35" s="1" t="s">
        <v>65</v>
      </c>
      <c r="B35" s="1" t="n">
        <f aca="false">B32+B33+B34</f>
        <v>3.7</v>
      </c>
      <c r="C35" s="1" t="n">
        <f aca="false">C32+C33+C34</f>
        <v>3.5</v>
      </c>
      <c r="D35" s="1" t="n">
        <f aca="false">D32+D33+D34</f>
        <v>3.9</v>
      </c>
      <c r="E35" s="1" t="s">
        <v>66</v>
      </c>
    </row>
    <row r="36" customFormat="false" ht="15" hidden="false" customHeight="true" outlineLevel="0" collapsed="false"/>
    <row r="37" customFormat="false" ht="15" hidden="false" customHeight="true" outlineLevel="0" collapsed="false">
      <c r="A37" s="1" t="s">
        <v>67</v>
      </c>
      <c r="B37" s="1" t="n">
        <f aca="false">10/1000</f>
        <v>0.01</v>
      </c>
      <c r="C37" s="1" t="n">
        <f aca="false">10/1000</f>
        <v>0.01</v>
      </c>
      <c r="D37" s="1" t="n">
        <f aca="false">10/1000</f>
        <v>0.01</v>
      </c>
    </row>
    <row r="38" customFormat="false" ht="15" hidden="false" customHeight="true" outlineLevel="0" collapsed="false">
      <c r="A38" s="1" t="s">
        <v>68</v>
      </c>
      <c r="B38" s="1" t="n">
        <f aca="false">B29+2*B37</f>
        <v>2.02</v>
      </c>
      <c r="C38" s="1" t="n">
        <f aca="false">C29+2*C37</f>
        <v>2.42</v>
      </c>
      <c r="D38" s="1" t="n">
        <f aca="false">D29+2*D37</f>
        <v>1.12</v>
      </c>
    </row>
    <row r="39" customFormat="false" ht="15" hidden="false" customHeight="true" outlineLevel="0" collapsed="false">
      <c r="A39" s="1" t="s">
        <v>69</v>
      </c>
      <c r="B39" s="1" t="n">
        <f aca="false">PI()/4*B35*(B38^2-B29^2)</f>
        <v>0.233640245647473</v>
      </c>
      <c r="C39" s="1" t="n">
        <f aca="false">PI()/4*C35*(C38^2-C29^2)</f>
        <v>0.264993340330299</v>
      </c>
      <c r="D39" s="1" t="n">
        <f aca="false">PI()/4*D35*(D38^2-D29^2)</f>
        <v>0.135999545973902</v>
      </c>
    </row>
  </sheetData>
  <mergeCells count="6">
    <mergeCell ref="A1:E1"/>
    <mergeCell ref="A2:E2"/>
    <mergeCell ref="A5:E5"/>
    <mergeCell ref="A10:E10"/>
    <mergeCell ref="A14:E14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28"/>
    <col collapsed="false" customWidth="true" hidden="false" outlineLevel="0" max="7" min="2" style="4" width="16"/>
    <col collapsed="false" customWidth="false" hidden="false" outlineLevel="0" max="16384" min="8" style="4" width="8.68"/>
  </cols>
  <sheetData>
    <row r="1" customFormat="false" ht="36" hidden="false" customHeight="true" outlineLevel="0" collapsed="false">
      <c r="A1" s="5" t="s">
        <v>70</v>
      </c>
      <c r="B1" s="5"/>
      <c r="C1" s="5"/>
      <c r="D1" s="5"/>
      <c r="E1" s="5"/>
      <c r="F1" s="5"/>
      <c r="G1" s="5"/>
    </row>
    <row r="2" customFormat="false" ht="18" hidden="false" customHeight="true" outlineLevel="0" collapsed="false">
      <c r="A2" s="5" t="s">
        <v>71</v>
      </c>
      <c r="B2" s="5"/>
      <c r="C2" s="5"/>
      <c r="D2" s="5"/>
      <c r="E2" s="5"/>
      <c r="F2" s="5"/>
      <c r="G2" s="5"/>
    </row>
    <row r="3" customFormat="false" ht="6" hidden="false" customHeight="true" outlineLevel="0" collapsed="false"/>
    <row r="4" customFormat="false" ht="39.75" hidden="false" customHeight="true" outlineLevel="0" collapsed="false">
      <c r="A4" s="4" t="s">
        <v>72</v>
      </c>
      <c r="B4" s="6" t="s">
        <v>73</v>
      </c>
      <c r="C4" s="6" t="s">
        <v>74</v>
      </c>
      <c r="D4" s="6" t="s">
        <v>75</v>
      </c>
      <c r="E4" s="6" t="s">
        <v>76</v>
      </c>
      <c r="F4" s="6" t="s">
        <v>77</v>
      </c>
      <c r="G4" s="6" t="s">
        <v>78</v>
      </c>
      <c r="H4" s="4" t="s">
        <v>79</v>
      </c>
    </row>
    <row r="5" customFormat="false" ht="18" hidden="false" customHeight="true" outlineLevel="0" collapsed="false">
      <c r="A5" s="4" t="s">
        <v>80</v>
      </c>
      <c r="B5" s="4" t="n">
        <v>2066.7</v>
      </c>
      <c r="C5" s="4" t="n">
        <v>2.1</v>
      </c>
      <c r="D5" s="4" t="n">
        <v>2064.6</v>
      </c>
      <c r="E5" s="4" t="n">
        <v>0</v>
      </c>
      <c r="F5" s="4" t="n">
        <f aca="false">D5</f>
        <v>2064.6</v>
      </c>
      <c r="G5" s="4" t="n">
        <v>85</v>
      </c>
      <c r="H5" s="4" t="n">
        <f aca="false">F5-G5</f>
        <v>1979.6</v>
      </c>
    </row>
    <row r="6" customFormat="false" ht="18" hidden="false" customHeight="true" outlineLevel="0" collapsed="false">
      <c r="A6" s="4" t="s">
        <v>81</v>
      </c>
      <c r="B6" s="4" t="n">
        <v>12</v>
      </c>
      <c r="C6" s="4" t="n">
        <v>12</v>
      </c>
      <c r="D6" s="4" t="n">
        <v>0</v>
      </c>
      <c r="E6" s="4" t="n">
        <v>12</v>
      </c>
      <c r="F6" s="4" t="n">
        <v>0</v>
      </c>
      <c r="G6" s="4" t="n">
        <v>0</v>
      </c>
      <c r="H6" s="4" t="n">
        <f aca="false">F6-G6</f>
        <v>0</v>
      </c>
    </row>
    <row r="7" customFormat="false" ht="18" hidden="false" customHeight="true" outlineLevel="0" collapsed="false">
      <c r="A7" s="4" t="s">
        <v>82</v>
      </c>
      <c r="B7" s="4" t="n">
        <v>22.9</v>
      </c>
      <c r="C7" s="4" t="n">
        <v>0.5</v>
      </c>
      <c r="D7" s="4" t="n">
        <v>22.4</v>
      </c>
      <c r="E7" s="4" t="n">
        <v>0</v>
      </c>
      <c r="F7" s="4" t="n">
        <v>22.4</v>
      </c>
      <c r="G7" s="4" t="n">
        <v>22.1</v>
      </c>
      <c r="H7" s="4" t="n">
        <f aca="false">F7-G7</f>
        <v>0.299999999999997</v>
      </c>
    </row>
    <row r="8" customFormat="false" ht="18" hidden="false" customHeight="true" outlineLevel="0" collapsed="false">
      <c r="A8" s="4" t="s">
        <v>18</v>
      </c>
      <c r="B8" s="4" t="n">
        <v>201</v>
      </c>
      <c r="C8" s="4" t="n">
        <v>4</v>
      </c>
      <c r="D8" s="4" t="n">
        <v>197</v>
      </c>
      <c r="E8" s="4" t="n">
        <v>0</v>
      </c>
      <c r="F8" s="4" t="n">
        <v>197</v>
      </c>
      <c r="G8" s="4" t="n">
        <v>196.1</v>
      </c>
      <c r="H8" s="4" t="n">
        <f aca="false">F8-G8</f>
        <v>0.900000000000006</v>
      </c>
    </row>
    <row r="9" customFormat="false" ht="18" hidden="false" customHeight="true" outlineLevel="0" collapsed="false">
      <c r="A9" s="4" t="s">
        <v>83</v>
      </c>
      <c r="B9" s="4" t="n">
        <v>986.2</v>
      </c>
      <c r="C9" s="4" t="n">
        <v>49.3</v>
      </c>
      <c r="D9" s="4" t="n">
        <v>936.9</v>
      </c>
      <c r="E9" s="4" t="n">
        <v>0</v>
      </c>
      <c r="F9" s="4" t="n">
        <v>936.9</v>
      </c>
      <c r="G9" s="4" t="n">
        <v>936.9</v>
      </c>
      <c r="H9" s="4" t="n">
        <f aca="false">F9-G9</f>
        <v>0</v>
      </c>
    </row>
    <row r="10" customFormat="false" ht="18" hidden="false" customHeight="true" outlineLevel="0" collapsed="false">
      <c r="A10" s="4" t="s">
        <v>84</v>
      </c>
      <c r="B10" s="4" t="n">
        <v>18568</v>
      </c>
      <c r="C10" s="4" t="n">
        <v>18512</v>
      </c>
      <c r="D10" s="4" t="n">
        <v>56</v>
      </c>
      <c r="E10" s="4" t="n">
        <v>18327</v>
      </c>
      <c r="F10" s="4" t="n">
        <v>229</v>
      </c>
      <c r="G10" s="4" t="n">
        <v>228.9</v>
      </c>
      <c r="H10" s="4" t="n">
        <f aca="false">F10-G10</f>
        <v>0.0999999999999943</v>
      </c>
    </row>
    <row r="11" customFormat="false" ht="19.5" hidden="false" customHeight="true" outlineLevel="0" collapsed="false">
      <c r="A11" s="4" t="s">
        <v>85</v>
      </c>
      <c r="B11" s="4" t="n">
        <f aca="false">SUM(B5:B10)</f>
        <v>21856.8</v>
      </c>
      <c r="C11" s="4" t="n">
        <f aca="false">SUM(C5:C10)</f>
        <v>18579.9</v>
      </c>
      <c r="D11" s="4" t="n">
        <f aca="false">SUM(D5:D10)</f>
        <v>3276.9</v>
      </c>
      <c r="E11" s="4" t="n">
        <f aca="false">SUM(E5:E10)</f>
        <v>18339</v>
      </c>
      <c r="F11" s="4" t="n">
        <f aca="false">SUM(F5:F10)</f>
        <v>3449.9</v>
      </c>
      <c r="G11" s="4" t="n">
        <f aca="false">SUM(G5:G10)</f>
        <v>1469</v>
      </c>
      <c r="H11" s="4" t="n">
        <f aca="false">SUM(H5:H10)</f>
        <v>1980.9</v>
      </c>
    </row>
    <row r="12" customFormat="false" ht="15" hidden="false" customHeight="true" outlineLevel="0" collapsed="false">
      <c r="A12" s="4" t="s">
        <v>86</v>
      </c>
      <c r="B12" s="4" t="n">
        <f aca="false">B11*300*10^-6</f>
        <v>6.55704</v>
      </c>
      <c r="E12" s="4" t="n">
        <f aca="false">C11*300*10^-6</f>
        <v>5.57397</v>
      </c>
      <c r="G12" s="4" t="n">
        <f aca="false">F11*300*10^-6</f>
        <v>1.03497</v>
      </c>
    </row>
    <row r="13" customFormat="false" ht="18" hidden="false" customHeight="true" outlineLevel="0" collapsed="false">
      <c r="A13" s="5" t="s">
        <v>87</v>
      </c>
      <c r="B13" s="5"/>
      <c r="C13" s="5"/>
      <c r="D13" s="5"/>
      <c r="E13" s="5"/>
      <c r="F13" s="5"/>
      <c r="G13" s="5"/>
    </row>
    <row r="14" customFormat="false" ht="18" hidden="false" customHeight="true" outlineLevel="0" collapsed="false">
      <c r="A14" s="4" t="s">
        <v>88</v>
      </c>
      <c r="B14" s="4" t="n">
        <f aca="false">H5</f>
        <v>1979.6</v>
      </c>
    </row>
    <row r="15" customFormat="false" ht="18" hidden="false" customHeight="true" outlineLevel="0" collapsed="false">
      <c r="A15" s="4" t="s">
        <v>89</v>
      </c>
      <c r="B15" s="4" t="n">
        <f aca="false">H11</f>
        <v>1980.9</v>
      </c>
    </row>
    <row r="16" customFormat="false" ht="18" hidden="false" customHeight="true" outlineLevel="0" collapsed="false">
      <c r="A16" s="4" t="s">
        <v>90</v>
      </c>
      <c r="B16" s="4" t="n">
        <f aca="false">B14/B15</f>
        <v>0.999343732646777</v>
      </c>
      <c r="C16" s="5" t="s">
        <v>91</v>
      </c>
      <c r="D16" s="5"/>
      <c r="E16" s="5"/>
      <c r="F16" s="5"/>
      <c r="G16" s="5"/>
    </row>
    <row r="17" customFormat="false" ht="18" hidden="false" customHeight="true" outlineLevel="0" collapsed="false">
      <c r="A17" s="4" t="s">
        <v>92</v>
      </c>
      <c r="B17" s="4" t="n">
        <f aca="false">B14/B5</f>
        <v>0.95785551845938</v>
      </c>
      <c r="C17" s="5" t="s">
        <v>93</v>
      </c>
      <c r="D17" s="5"/>
      <c r="E17" s="5"/>
      <c r="F17" s="5"/>
      <c r="G17" s="5"/>
    </row>
  </sheetData>
  <mergeCells count="5">
    <mergeCell ref="A1:G1"/>
    <mergeCell ref="A2:G2"/>
    <mergeCell ref="A13:G13"/>
    <mergeCell ref="C16:G16"/>
    <mergeCell ref="C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48"/>
  </cols>
  <sheetData>
    <row r="1" customFormat="false" ht="36" hidden="false" customHeight="true" outlineLevel="0" collapsed="false">
      <c r="A1" s="7" t="s">
        <v>94</v>
      </c>
      <c r="B1" s="7"/>
      <c r="C1" s="7"/>
    </row>
    <row r="3" customFormat="false" ht="19.5" hidden="false" customHeight="true" outlineLevel="0" collapsed="false">
      <c r="A3" s="7" t="s">
        <v>95</v>
      </c>
      <c r="B3" s="7"/>
      <c r="C3" s="7"/>
    </row>
    <row r="4" customFormat="false" ht="19.5" hidden="false" customHeight="true" outlineLevel="0" collapsed="false">
      <c r="A4" s="0" t="s">
        <v>96</v>
      </c>
      <c r="B4" s="0" t="s">
        <v>97</v>
      </c>
      <c r="C4" s="0" t="s">
        <v>98</v>
      </c>
    </row>
    <row r="5" customFormat="false" ht="19.5" hidden="false" customHeight="true" outlineLevel="0" collapsed="false">
      <c r="A5" s="0" t="s">
        <v>99</v>
      </c>
      <c r="B5" s="0" t="s">
        <v>100</v>
      </c>
      <c r="C5" s="0" t="s">
        <v>101</v>
      </c>
    </row>
    <row r="6" customFormat="false" ht="19.5" hidden="false" customHeight="true" outlineLevel="0" collapsed="false">
      <c r="A6" s="0" t="s">
        <v>102</v>
      </c>
      <c r="B6" s="0" t="s">
        <v>103</v>
      </c>
      <c r="C6" s="0" t="s">
        <v>104</v>
      </c>
    </row>
    <row r="7" customFormat="false" ht="19.5" hidden="false" customHeight="true" outlineLevel="0" collapsed="false">
      <c r="A7" s="0" t="s">
        <v>105</v>
      </c>
      <c r="B7" s="0" t="s">
        <v>36</v>
      </c>
      <c r="C7" s="0" t="s">
        <v>106</v>
      </c>
    </row>
    <row r="8" customFormat="false" ht="19.5" hidden="false" customHeight="true" outlineLevel="0" collapsed="false">
      <c r="A8" s="0" t="s">
        <v>107</v>
      </c>
      <c r="B8" s="0" t="s">
        <v>108</v>
      </c>
      <c r="C8" s="0" t="s">
        <v>109</v>
      </c>
    </row>
    <row r="9" customFormat="false" ht="19.5" hidden="false" customHeight="true" outlineLevel="0" collapsed="false">
      <c r="A9" s="0" t="s">
        <v>110</v>
      </c>
      <c r="B9" s="0" t="s">
        <v>111</v>
      </c>
      <c r="C9" s="0" t="s">
        <v>112</v>
      </c>
    </row>
    <row r="10" customFormat="false" ht="19.5" hidden="false" customHeight="true" outlineLevel="0" collapsed="false">
      <c r="A10" s="0" t="s">
        <v>113</v>
      </c>
      <c r="B10" s="0" t="s">
        <v>114</v>
      </c>
      <c r="C10" s="0" t="s">
        <v>115</v>
      </c>
    </row>
    <row r="11" customFormat="false" ht="19.5" hidden="false" customHeight="true" outlineLevel="0" collapsed="false">
      <c r="A11" s="0" t="s">
        <v>116</v>
      </c>
      <c r="B11" s="0" t="s">
        <v>117</v>
      </c>
      <c r="C11" s="0" t="s">
        <v>118</v>
      </c>
    </row>
    <row r="12" customFormat="false" ht="19.5" hidden="false" customHeight="true" outlineLevel="0" collapsed="false">
      <c r="A12" s="0" t="s">
        <v>119</v>
      </c>
      <c r="B12" s="0" t="s">
        <v>120</v>
      </c>
      <c r="C12" s="0" t="s">
        <v>121</v>
      </c>
    </row>
    <row r="13" customFormat="false" ht="19.5" hidden="false" customHeight="true" outlineLevel="0" collapsed="false">
      <c r="A13" s="7" t="s">
        <v>122</v>
      </c>
      <c r="B13" s="7"/>
      <c r="C13" s="7"/>
    </row>
    <row r="14" customFormat="false" ht="19.5" hidden="false" customHeight="true" outlineLevel="0" collapsed="false">
      <c r="A14" s="0" t="s">
        <v>123</v>
      </c>
      <c r="B14" s="0" t="s">
        <v>124</v>
      </c>
      <c r="C14" s="0" t="s">
        <v>125</v>
      </c>
    </row>
    <row r="15" customFormat="false" ht="19.5" hidden="false" customHeight="true" outlineLevel="0" collapsed="false">
      <c r="A15" s="0" t="s">
        <v>126</v>
      </c>
      <c r="B15" s="0" t="s">
        <v>127</v>
      </c>
      <c r="C15" s="0" t="s">
        <v>128</v>
      </c>
    </row>
    <row r="16" customFormat="false" ht="19.5" hidden="false" customHeight="true" outlineLevel="0" collapsed="false">
      <c r="A16" s="0" t="s">
        <v>129</v>
      </c>
      <c r="B16" s="0" t="s">
        <v>130</v>
      </c>
      <c r="C16" s="0" t="s">
        <v>131</v>
      </c>
    </row>
    <row r="17" customFormat="false" ht="19.5" hidden="false" customHeight="true" outlineLevel="0" collapsed="false">
      <c r="A17" s="0" t="s">
        <v>132</v>
      </c>
      <c r="B17" s="0" t="s">
        <v>133</v>
      </c>
      <c r="C17" s="0" t="s">
        <v>134</v>
      </c>
    </row>
    <row r="18" customFormat="false" ht="19.5" hidden="false" customHeight="true" outlineLevel="0" collapsed="false">
      <c r="A18" s="0" t="s">
        <v>135</v>
      </c>
      <c r="B18" s="0" t="s">
        <v>136</v>
      </c>
      <c r="C18" s="0" t="s">
        <v>137</v>
      </c>
    </row>
    <row r="19" customFormat="false" ht="19.5" hidden="false" customHeight="true" outlineLevel="0" collapsed="false">
      <c r="A19" s="7" t="s">
        <v>138</v>
      </c>
      <c r="B19" s="7"/>
      <c r="C19" s="7"/>
    </row>
    <row r="20" customFormat="false" ht="19.5" hidden="false" customHeight="true" outlineLevel="0" collapsed="false">
      <c r="A20" s="0" t="s">
        <v>139</v>
      </c>
      <c r="B20" s="0" t="s">
        <v>140</v>
      </c>
      <c r="C20" s="0" t="s">
        <v>141</v>
      </c>
    </row>
    <row r="21" customFormat="false" ht="19.5" hidden="false" customHeight="true" outlineLevel="0" collapsed="false">
      <c r="A21" s="0" t="s">
        <v>142</v>
      </c>
      <c r="B21" s="0" t="s">
        <v>143</v>
      </c>
      <c r="C21" s="0" t="s">
        <v>144</v>
      </c>
    </row>
    <row r="22" customFormat="false" ht="19.5" hidden="false" customHeight="true" outlineLevel="0" collapsed="false">
      <c r="A22" s="0" t="s">
        <v>145</v>
      </c>
      <c r="B22" s="0" t="s">
        <v>146</v>
      </c>
      <c r="C22" s="0" t="s">
        <v>147</v>
      </c>
    </row>
    <row r="23" customFormat="false" ht="19.5" hidden="false" customHeight="true" outlineLevel="0" collapsed="false">
      <c r="A23" s="7" t="s">
        <v>148</v>
      </c>
      <c r="B23" s="7"/>
      <c r="C23" s="7"/>
    </row>
    <row r="24" customFormat="false" ht="19.5" hidden="false" customHeight="true" outlineLevel="0" collapsed="false">
      <c r="A24" s="0" t="s">
        <v>149</v>
      </c>
      <c r="B24" s="0" t="s">
        <v>150</v>
      </c>
      <c r="C24" s="0" t="s">
        <v>151</v>
      </c>
    </row>
    <row r="25" customFormat="false" ht="19.5" hidden="false" customHeight="true" outlineLevel="0" collapsed="false">
      <c r="A25" s="0" t="s">
        <v>152</v>
      </c>
      <c r="B25" s="0" t="s">
        <v>153</v>
      </c>
      <c r="C25" s="0" t="s">
        <v>154</v>
      </c>
    </row>
    <row r="26" customFormat="false" ht="19.5" hidden="false" customHeight="true" outlineLevel="0" collapsed="false">
      <c r="A26" s="0" t="s">
        <v>155</v>
      </c>
      <c r="B26" s="0" t="s">
        <v>156</v>
      </c>
      <c r="C26" s="0" t="s">
        <v>157</v>
      </c>
    </row>
    <row r="27" customFormat="false" ht="19.5" hidden="false" customHeight="true" outlineLevel="0" collapsed="false">
      <c r="A27" s="0" t="s">
        <v>158</v>
      </c>
      <c r="B27" s="0" t="s">
        <v>159</v>
      </c>
      <c r="C27" s="0" t="s">
        <v>160</v>
      </c>
    </row>
  </sheetData>
  <mergeCells count="5">
    <mergeCell ref="A1:C1"/>
    <mergeCell ref="A3:C3"/>
    <mergeCell ref="A13:C13"/>
    <mergeCell ref="A19:C19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D35" activeCellId="0" sqref="D3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4" min="2" style="1" width="22"/>
    <col collapsed="false" customWidth="true" hidden="false" outlineLevel="0" max="5" min="5" style="1" width="8"/>
    <col collapsed="false" customWidth="true" hidden="false" outlineLevel="0" max="6" min="6" style="1" width="36"/>
    <col collapsed="false" customWidth="false" hidden="false" outlineLevel="0" max="16384" min="7" style="1" width="8.68"/>
  </cols>
  <sheetData>
    <row r="1" customFormat="false" ht="30" hidden="false" customHeight="true" outlineLevel="0" collapsed="false">
      <c r="A1" s="2" t="s">
        <v>161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2" t="s">
        <v>162</v>
      </c>
      <c r="B2" s="2"/>
      <c r="C2" s="2"/>
      <c r="D2" s="2"/>
      <c r="E2" s="2"/>
      <c r="F2" s="2"/>
    </row>
    <row r="3" customFormat="false" ht="36" hidden="false" customHeight="true" outlineLevel="0" collapsed="false">
      <c r="A3" s="1" t="s">
        <v>2</v>
      </c>
      <c r="B3" s="3" t="s">
        <v>3</v>
      </c>
      <c r="C3" s="3" t="s">
        <v>4</v>
      </c>
      <c r="D3" s="3" t="s">
        <v>5</v>
      </c>
      <c r="E3" s="1" t="s">
        <v>163</v>
      </c>
      <c r="F3" s="1" t="s">
        <v>6</v>
      </c>
    </row>
    <row r="5" customFormat="false" ht="19.5" hidden="false" customHeight="true" outlineLevel="0" collapsed="false">
      <c r="A5" s="2" t="s">
        <v>164</v>
      </c>
      <c r="B5" s="2"/>
      <c r="C5" s="2"/>
      <c r="D5" s="2"/>
      <c r="E5" s="2"/>
      <c r="F5" s="2"/>
    </row>
    <row r="6" customFormat="false" ht="18" hidden="false" customHeight="true" outlineLevel="0" collapsed="false">
      <c r="A6" s="2" t="s">
        <v>165</v>
      </c>
      <c r="B6" s="2"/>
      <c r="C6" s="2"/>
      <c r="D6" s="2"/>
      <c r="E6" s="2"/>
      <c r="F6" s="2"/>
    </row>
    <row r="7" customFormat="false" ht="18" hidden="false" customHeight="true" outlineLevel="0" collapsed="false">
      <c r="A7" s="1" t="s">
        <v>166</v>
      </c>
      <c r="B7" s="1" t="n">
        <v>18339</v>
      </c>
      <c r="C7" s="1" t="n">
        <v>1469</v>
      </c>
      <c r="D7" s="1" t="n">
        <v>85</v>
      </c>
      <c r="E7" s="1" t="s">
        <v>167</v>
      </c>
      <c r="F7" s="1" t="s">
        <v>168</v>
      </c>
    </row>
    <row r="8" customFormat="false" ht="18" hidden="false" customHeight="true" outlineLevel="0" collapsed="false">
      <c r="A8" s="1" t="s">
        <v>169</v>
      </c>
      <c r="B8" s="1" t="n">
        <v>18580</v>
      </c>
      <c r="C8" s="1" t="n">
        <v>3450</v>
      </c>
      <c r="D8" s="1" t="n">
        <v>1981</v>
      </c>
      <c r="E8" s="1" t="s">
        <v>167</v>
      </c>
      <c r="F8" s="1" t="s">
        <v>170</v>
      </c>
    </row>
    <row r="9" customFormat="false" ht="18" hidden="false" customHeight="true" outlineLevel="0" collapsed="false">
      <c r="A9" s="1" t="s">
        <v>171</v>
      </c>
      <c r="B9" s="1" t="n">
        <f aca="false">B7+B8</f>
        <v>36919</v>
      </c>
      <c r="C9" s="1" t="n">
        <f aca="false">C7+C8</f>
        <v>4919</v>
      </c>
      <c r="D9" s="1" t="n">
        <f aca="false">D7+D8</f>
        <v>2066</v>
      </c>
      <c r="E9" s="1" t="s">
        <v>167</v>
      </c>
      <c r="F9" s="1" t="s">
        <v>172</v>
      </c>
    </row>
    <row r="10" customFormat="false" ht="18" hidden="false" customHeight="true" outlineLevel="0" collapsed="false">
      <c r="A10" s="1" t="s">
        <v>173</v>
      </c>
      <c r="B10" s="1" t="n">
        <v>1.02</v>
      </c>
      <c r="C10" s="1" t="n">
        <v>0.72</v>
      </c>
      <c r="D10" s="1" t="n">
        <v>1.32</v>
      </c>
      <c r="E10" s="1" t="s">
        <v>174</v>
      </c>
      <c r="F10" s="1" t="s">
        <v>175</v>
      </c>
    </row>
    <row r="11" customFormat="false" ht="18" hidden="false" customHeight="true" outlineLevel="0" collapsed="false">
      <c r="A11" s="1" t="s">
        <v>176</v>
      </c>
      <c r="B11" s="1" t="n">
        <f aca="false">B7*(B10+1)/3600</f>
        <v>10.2902166666667</v>
      </c>
      <c r="C11" s="1" t="n">
        <f aca="false">C7*(C10+1)/3600</f>
        <v>0.701855555555556</v>
      </c>
      <c r="D11" s="1" t="n">
        <f aca="false">D7*(D10+1)/3600</f>
        <v>0.0547777777777778</v>
      </c>
      <c r="E11" s="1" t="s">
        <v>177</v>
      </c>
      <c r="F11" s="1" t="s">
        <v>178</v>
      </c>
    </row>
    <row r="13" customFormat="false" ht="19.5" hidden="false" customHeight="true" outlineLevel="0" collapsed="false">
      <c r="A13" s="2" t="s">
        <v>179</v>
      </c>
      <c r="B13" s="2"/>
      <c r="C13" s="2"/>
      <c r="D13" s="2"/>
      <c r="E13" s="2"/>
      <c r="F13" s="2"/>
    </row>
    <row r="14" customFormat="false" ht="18" hidden="false" customHeight="true" outlineLevel="0" collapsed="false">
      <c r="A14" s="2" t="s">
        <v>180</v>
      </c>
      <c r="B14" s="2"/>
      <c r="C14" s="2"/>
      <c r="D14" s="2"/>
      <c r="E14" s="2"/>
      <c r="F14" s="2"/>
    </row>
    <row r="15" customFormat="false" ht="18" hidden="false" customHeight="true" outlineLevel="0" collapsed="false">
      <c r="A15" s="1" t="s">
        <v>181</v>
      </c>
      <c r="B15" s="1" t="n">
        <v>101.3</v>
      </c>
      <c r="C15" s="1" t="n">
        <v>45</v>
      </c>
      <c r="D15" s="1" t="n">
        <v>12</v>
      </c>
      <c r="E15" s="1" t="s">
        <v>182</v>
      </c>
      <c r="F15" s="1" t="s">
        <v>183</v>
      </c>
    </row>
    <row r="16" customFormat="false" ht="18" hidden="false" customHeight="true" outlineLevel="0" collapsed="false">
      <c r="A16" s="1" t="s">
        <v>10</v>
      </c>
      <c r="B16" s="1" t="n">
        <v>125</v>
      </c>
      <c r="C16" s="1" t="n">
        <v>90</v>
      </c>
      <c r="D16" s="1" t="n">
        <v>65</v>
      </c>
      <c r="E16" s="1" t="s">
        <v>184</v>
      </c>
      <c r="F16" s="1" t="s">
        <v>185</v>
      </c>
    </row>
    <row r="17" customFormat="false" ht="18" hidden="false" customHeight="true" outlineLevel="0" collapsed="false">
      <c r="A17" s="1" t="s">
        <v>186</v>
      </c>
      <c r="B17" s="1" t="n">
        <v>380</v>
      </c>
      <c r="C17" s="1" t="n">
        <v>420</v>
      </c>
      <c r="D17" s="1" t="n">
        <v>475</v>
      </c>
      <c r="E17" s="1" t="s">
        <v>187</v>
      </c>
      <c r="F17" s="1" t="s">
        <v>188</v>
      </c>
    </row>
    <row r="18" customFormat="false" ht="18" hidden="false" customHeight="true" outlineLevel="0" collapsed="false">
      <c r="A18" s="1" t="s">
        <v>189</v>
      </c>
      <c r="B18" s="1" t="n">
        <f aca="false">B11*B17*1000</f>
        <v>3910282.33333333</v>
      </c>
      <c r="C18" s="1" t="n">
        <f aca="false">C11*C17*1000</f>
        <v>294779.333333333</v>
      </c>
      <c r="D18" s="1" t="n">
        <f aca="false">D11*D17*1000</f>
        <v>26019.4444444444</v>
      </c>
      <c r="E18" s="1" t="s">
        <v>190</v>
      </c>
      <c r="F18" s="1" t="s">
        <v>191</v>
      </c>
    </row>
    <row r="19" customFormat="false" ht="18" hidden="false" customHeight="true" outlineLevel="0" collapsed="false">
      <c r="A19" s="1" t="s">
        <v>192</v>
      </c>
      <c r="B19" s="1" t="n">
        <f aca="false">B18/1000</f>
        <v>3910.28233333333</v>
      </c>
      <c r="C19" s="1" t="n">
        <f aca="false">C18/1000</f>
        <v>294.779333333333</v>
      </c>
      <c r="D19" s="1" t="n">
        <f aca="false">D18/1000</f>
        <v>26.0194444444444</v>
      </c>
      <c r="E19" s="1" t="s">
        <v>193</v>
      </c>
      <c r="F19" s="1" t="s">
        <v>194</v>
      </c>
    </row>
    <row r="20" customFormat="false" ht="18" hidden="false" customHeight="true" outlineLevel="0" collapsed="false">
      <c r="A20" s="1" t="s">
        <v>192</v>
      </c>
      <c r="B20" s="1" t="n">
        <f aca="false">B18/1000000</f>
        <v>3.91028233333333</v>
      </c>
      <c r="C20" s="1" t="n">
        <f aca="false">C18/1000000</f>
        <v>0.294779333333333</v>
      </c>
      <c r="D20" s="1" t="n">
        <f aca="false">D18/1000000</f>
        <v>0.0260194444444444</v>
      </c>
      <c r="E20" s="1" t="s">
        <v>195</v>
      </c>
      <c r="F20" s="1" t="s">
        <v>196</v>
      </c>
    </row>
    <row r="22" customFormat="false" ht="19.5" hidden="false" customHeight="true" outlineLevel="0" collapsed="false">
      <c r="A22" s="2" t="s">
        <v>197</v>
      </c>
      <c r="B22" s="2"/>
      <c r="C22" s="2"/>
      <c r="D22" s="2"/>
      <c r="E22" s="2"/>
      <c r="F22" s="2"/>
    </row>
    <row r="23" customFormat="false" ht="18" hidden="false" customHeight="true" outlineLevel="0" collapsed="false">
      <c r="A23" s="1" t="s">
        <v>198</v>
      </c>
      <c r="B23" s="1" t="n">
        <v>1.05</v>
      </c>
      <c r="C23" s="1" t="n">
        <v>1.05</v>
      </c>
      <c r="D23" s="1" t="n">
        <v>1.05</v>
      </c>
      <c r="E23" s="1" t="s">
        <v>174</v>
      </c>
      <c r="F23" s="1" t="s">
        <v>199</v>
      </c>
    </row>
    <row r="24" customFormat="false" ht="18" hidden="false" customHeight="true" outlineLevel="0" collapsed="false">
      <c r="A24" s="1" t="s">
        <v>200</v>
      </c>
      <c r="B24" s="1" t="n">
        <f aca="false">B19*B23</f>
        <v>4105.79645</v>
      </c>
      <c r="C24" s="1" t="n">
        <f aca="false">C19*C23</f>
        <v>309.5183</v>
      </c>
      <c r="D24" s="1" t="n">
        <f aca="false">D19*D23</f>
        <v>27.3204166666667</v>
      </c>
      <c r="E24" s="1" t="s">
        <v>193</v>
      </c>
      <c r="F24" s="1" t="s">
        <v>201</v>
      </c>
    </row>
    <row r="25" customFormat="false" ht="18" hidden="false" customHeight="true" outlineLevel="0" collapsed="false">
      <c r="A25" s="1" t="s">
        <v>202</v>
      </c>
      <c r="B25" s="1" t="n">
        <f aca="false">B24/1000</f>
        <v>4.10579645</v>
      </c>
      <c r="C25" s="1" t="n">
        <f aca="false">C24/1000</f>
        <v>0.3095183</v>
      </c>
      <c r="D25" s="1" t="n">
        <f aca="false">D24/1000</f>
        <v>0.0273204166666667</v>
      </c>
      <c r="E25" s="1" t="s">
        <v>195</v>
      </c>
      <c r="F25" s="1" t="s">
        <v>203</v>
      </c>
    </row>
    <row r="26" customFormat="false" ht="18" hidden="false" customHeight="true" outlineLevel="0" collapsed="false">
      <c r="A26" s="1" t="s">
        <v>12</v>
      </c>
      <c r="B26" s="1" t="n">
        <v>155</v>
      </c>
      <c r="C26" s="1" t="n">
        <v>135</v>
      </c>
      <c r="D26" s="1" t="n">
        <v>80</v>
      </c>
      <c r="E26" s="1" t="s">
        <v>184</v>
      </c>
      <c r="F26" s="1" t="s">
        <v>204</v>
      </c>
    </row>
    <row r="27" customFormat="false" ht="18" hidden="false" customHeight="true" outlineLevel="0" collapsed="false">
      <c r="A27" s="1" t="s">
        <v>205</v>
      </c>
      <c r="B27" s="1" t="n">
        <v>390</v>
      </c>
      <c r="C27" s="1" t="n">
        <v>430</v>
      </c>
      <c r="D27" s="1" t="n">
        <v>470</v>
      </c>
      <c r="E27" s="1" t="s">
        <v>187</v>
      </c>
      <c r="F27" s="1" t="s">
        <v>206</v>
      </c>
    </row>
    <row r="28" customFormat="false" ht="18" hidden="false" customHeight="true" outlineLevel="0" collapsed="false">
      <c r="A28" s="1" t="s">
        <v>207</v>
      </c>
      <c r="B28" s="1" t="n">
        <f aca="false">B24/B27</f>
        <v>10.5276832051282</v>
      </c>
      <c r="C28" s="1" t="n">
        <f aca="false">C24/C27</f>
        <v>0.71981</v>
      </c>
      <c r="D28" s="1" t="n">
        <f aca="false">D24/D27</f>
        <v>0.0581285460992908</v>
      </c>
      <c r="E28" s="1" t="s">
        <v>208</v>
      </c>
      <c r="F28" s="1" t="s">
        <v>209</v>
      </c>
    </row>
    <row r="30" customFormat="false" ht="19.5" hidden="false" customHeight="true" outlineLevel="0" collapsed="false">
      <c r="A30" s="2" t="s">
        <v>210</v>
      </c>
      <c r="B30" s="2"/>
      <c r="C30" s="2"/>
      <c r="D30" s="2"/>
      <c r="E30" s="2"/>
      <c r="F30" s="2"/>
    </row>
    <row r="31" customFormat="false" ht="18" hidden="false" customHeight="true" outlineLevel="0" collapsed="false">
      <c r="A31" s="2" t="s">
        <v>211</v>
      </c>
      <c r="B31" s="2"/>
      <c r="C31" s="2"/>
      <c r="D31" s="2"/>
      <c r="E31" s="2"/>
      <c r="F31" s="2"/>
    </row>
    <row r="32" customFormat="false" ht="18" hidden="false" customHeight="true" outlineLevel="0" collapsed="false">
      <c r="A32" s="1" t="s">
        <v>212</v>
      </c>
      <c r="B32" s="1" t="n">
        <v>30</v>
      </c>
      <c r="C32" s="1" t="n">
        <v>30</v>
      </c>
      <c r="D32" s="1" t="n">
        <v>30</v>
      </c>
      <c r="E32" s="1" t="s">
        <v>184</v>
      </c>
      <c r="F32" s="1" t="s">
        <v>213</v>
      </c>
    </row>
    <row r="33" customFormat="false" ht="18" hidden="false" customHeight="true" outlineLevel="0" collapsed="false">
      <c r="A33" s="1" t="s">
        <v>214</v>
      </c>
      <c r="B33" s="1" t="n">
        <v>45</v>
      </c>
      <c r="C33" s="1" t="n">
        <v>45</v>
      </c>
      <c r="D33" s="1" t="n">
        <v>45</v>
      </c>
      <c r="E33" s="1" t="s">
        <v>184</v>
      </c>
      <c r="F33" s="1" t="s">
        <v>215</v>
      </c>
    </row>
    <row r="34" customFormat="false" ht="18" hidden="false" customHeight="true" outlineLevel="0" collapsed="false">
      <c r="A34" s="1" t="s">
        <v>216</v>
      </c>
      <c r="B34" s="1" t="n">
        <f aca="false">B33-B32</f>
        <v>15</v>
      </c>
      <c r="C34" s="1" t="n">
        <f aca="false">C33-C32</f>
        <v>15</v>
      </c>
      <c r="D34" s="1" t="n">
        <f aca="false">D33-D32</f>
        <v>15</v>
      </c>
      <c r="E34" s="1" t="s">
        <v>184</v>
      </c>
      <c r="F34" s="1" t="s">
        <v>217</v>
      </c>
    </row>
    <row r="35" customFormat="false" ht="18" hidden="false" customHeight="true" outlineLevel="0" collapsed="false">
      <c r="A35" s="1" t="s">
        <v>218</v>
      </c>
      <c r="B35" s="1" t="n">
        <v>4.186</v>
      </c>
      <c r="C35" s="1" t="n">
        <v>4.186</v>
      </c>
      <c r="D35" s="1" t="n">
        <v>4.186</v>
      </c>
      <c r="E35" s="1" t="s">
        <v>219</v>
      </c>
      <c r="F35" s="1" t="s">
        <v>220</v>
      </c>
    </row>
    <row r="36" customFormat="false" ht="18" hidden="false" customHeight="true" outlineLevel="0" collapsed="false">
      <c r="A36" s="1" t="s">
        <v>221</v>
      </c>
      <c r="B36" s="1" t="n">
        <f aca="false">B19/(B35*B34)</f>
        <v>62.2755587407761</v>
      </c>
      <c r="C36" s="1" t="n">
        <f aca="false">C19/(C35*C34)</f>
        <v>4.69468599033816</v>
      </c>
      <c r="D36" s="1" t="n">
        <f aca="false">D19/(D35*D34)</f>
        <v>0.414388349170958</v>
      </c>
      <c r="E36" s="1" t="s">
        <v>177</v>
      </c>
      <c r="F36" s="1" t="s">
        <v>222</v>
      </c>
    </row>
    <row r="37" customFormat="false" ht="18" hidden="false" customHeight="true" outlineLevel="0" collapsed="false">
      <c r="A37" s="1" t="s">
        <v>223</v>
      </c>
      <c r="B37" s="1" t="n">
        <f aca="false">B36*3600</f>
        <v>224192.011466794</v>
      </c>
      <c r="C37" s="1" t="n">
        <f aca="false">C36*3600</f>
        <v>16900.8695652174</v>
      </c>
      <c r="D37" s="1" t="n">
        <f aca="false">D36*3600</f>
        <v>1491.79805701545</v>
      </c>
      <c r="E37" s="1" t="s">
        <v>167</v>
      </c>
      <c r="F37" s="1" t="s">
        <v>224</v>
      </c>
    </row>
    <row r="38" customFormat="false" ht="18" hidden="false" customHeight="true" outlineLevel="0" collapsed="false">
      <c r="A38" s="1" t="s">
        <v>223</v>
      </c>
      <c r="B38" s="1" t="n">
        <f aca="false">B37/1000</f>
        <v>224.192011466794</v>
      </c>
      <c r="C38" s="1" t="n">
        <f aca="false">C37/1000</f>
        <v>16.9008695652174</v>
      </c>
      <c r="D38" s="1" t="n">
        <f aca="false">D37/1000</f>
        <v>1.49179805701545</v>
      </c>
      <c r="E38" s="1" t="s">
        <v>225</v>
      </c>
      <c r="F38" s="1" t="s">
        <v>226</v>
      </c>
    </row>
    <row r="39" customFormat="false" ht="18" hidden="false" customHeight="true" outlineLevel="0" collapsed="false">
      <c r="A39" s="1" t="s">
        <v>227</v>
      </c>
      <c r="B39" s="1" t="n">
        <f aca="false">B16-B32</f>
        <v>95</v>
      </c>
      <c r="C39" s="1" t="n">
        <f aca="false">C16-C32</f>
        <v>60</v>
      </c>
      <c r="D39" s="1" t="n">
        <f aca="false">D16-D32</f>
        <v>35</v>
      </c>
      <c r="E39" s="1" t="s">
        <v>184</v>
      </c>
      <c r="F39" s="1" t="s">
        <v>228</v>
      </c>
    </row>
    <row r="41" customFormat="false" ht="19.5" hidden="false" customHeight="true" outlineLevel="0" collapsed="false">
      <c r="A41" s="2" t="s">
        <v>229</v>
      </c>
      <c r="B41" s="2"/>
      <c r="C41" s="2"/>
      <c r="D41" s="2"/>
      <c r="E41" s="2"/>
      <c r="F41" s="2"/>
    </row>
    <row r="42" customFormat="false" ht="18" hidden="false" customHeight="true" outlineLevel="0" collapsed="false">
      <c r="A42" s="2" t="s">
        <v>230</v>
      </c>
      <c r="B42" s="2"/>
      <c r="C42" s="2"/>
      <c r="D42" s="2"/>
      <c r="E42" s="2"/>
      <c r="F42" s="2"/>
    </row>
    <row r="43" customFormat="false" ht="18" hidden="false" customHeight="true" outlineLevel="0" collapsed="false">
      <c r="A43" s="1" t="s">
        <v>231</v>
      </c>
      <c r="B43" s="1" t="n">
        <v>143</v>
      </c>
      <c r="C43" s="1" t="n">
        <v>143</v>
      </c>
      <c r="D43" s="1" t="n">
        <v>143</v>
      </c>
      <c r="E43" s="1" t="s">
        <v>184</v>
      </c>
      <c r="F43" s="1" t="s">
        <v>232</v>
      </c>
    </row>
    <row r="44" customFormat="false" ht="18" hidden="false" customHeight="true" outlineLevel="0" collapsed="false">
      <c r="A44" s="1" t="s">
        <v>233</v>
      </c>
      <c r="B44" s="1" t="n">
        <v>2133</v>
      </c>
      <c r="C44" s="1" t="n">
        <v>2133</v>
      </c>
      <c r="D44" s="1" t="n">
        <v>2133</v>
      </c>
      <c r="E44" s="1" t="s">
        <v>187</v>
      </c>
      <c r="F44" s="1" t="s">
        <v>234</v>
      </c>
    </row>
    <row r="45" customFormat="false" ht="18" hidden="false" customHeight="true" outlineLevel="0" collapsed="false">
      <c r="A45" s="1" t="s">
        <v>235</v>
      </c>
      <c r="B45" s="1" t="n">
        <f aca="false">B24/B44</f>
        <v>1.92489285044538</v>
      </c>
      <c r="C45" s="1" t="n">
        <f aca="false">C24/C44</f>
        <v>0.145109376465073</v>
      </c>
      <c r="D45" s="1" t="n">
        <f aca="false">D24/D44</f>
        <v>0.0128084466322863</v>
      </c>
      <c r="E45" s="1" t="s">
        <v>177</v>
      </c>
      <c r="F45" s="1" t="s">
        <v>236</v>
      </c>
    </row>
    <row r="46" customFormat="false" ht="18" hidden="false" customHeight="true" outlineLevel="0" collapsed="false">
      <c r="A46" s="1" t="s">
        <v>237</v>
      </c>
      <c r="B46" s="1" t="n">
        <f aca="false">B45*3600</f>
        <v>6929.61426160338</v>
      </c>
      <c r="C46" s="1" t="n">
        <f aca="false">C45*3600</f>
        <v>522.393755274262</v>
      </c>
      <c r="D46" s="1" t="n">
        <f aca="false">D45*3600</f>
        <v>46.1104078762307</v>
      </c>
      <c r="E46" s="1" t="s">
        <v>167</v>
      </c>
      <c r="F46" s="1" t="s">
        <v>238</v>
      </c>
    </row>
    <row r="47" customFormat="false" ht="18" hidden="false" customHeight="true" outlineLevel="0" collapsed="false">
      <c r="A47" s="1" t="s">
        <v>237</v>
      </c>
      <c r="B47" s="1" t="n">
        <f aca="false">B46/1000</f>
        <v>6.92961426160337</v>
      </c>
      <c r="C47" s="1" t="n">
        <f aca="false">C46/1000</f>
        <v>0.522393755274262</v>
      </c>
      <c r="D47" s="1" t="n">
        <f aca="false">D46/1000</f>
        <v>0.0461104078762307</v>
      </c>
      <c r="E47" s="1" t="s">
        <v>225</v>
      </c>
      <c r="F47" s="1" t="s">
        <v>239</v>
      </c>
    </row>
    <row r="48" customFormat="false" ht="18" hidden="false" customHeight="true" outlineLevel="0" collapsed="false">
      <c r="A48" s="1" t="s">
        <v>240</v>
      </c>
      <c r="B48" s="1" t="n">
        <f aca="false">B43-B26</f>
        <v>-12</v>
      </c>
      <c r="C48" s="1" t="n">
        <f aca="false">C43-C26</f>
        <v>8</v>
      </c>
      <c r="D48" s="1" t="n">
        <f aca="false">D43-D26</f>
        <v>63</v>
      </c>
      <c r="E48" s="1" t="s">
        <v>184</v>
      </c>
      <c r="F48" s="1" t="s">
        <v>241</v>
      </c>
    </row>
    <row r="49" customFormat="false" ht="18" hidden="false" customHeight="true" outlineLevel="0" collapsed="false">
      <c r="A49" s="1" t="s">
        <v>242</v>
      </c>
      <c r="B49" s="1" t="str">
        <f aca="false">IF(B48&gt;15,"YES","CHECK")</f>
        <v>CHECK</v>
      </c>
      <c r="C49" s="1" t="str">
        <f aca="false">IF(C48&gt;15,"YES","CHECK")</f>
        <v>CHECK</v>
      </c>
      <c r="D49" s="1" t="str">
        <f aca="false">IF(D48&gt;15,"YES","CHECK")</f>
        <v>YES</v>
      </c>
      <c r="E49" s="1" t="s">
        <v>174</v>
      </c>
      <c r="F49" s="1" t="s">
        <v>243</v>
      </c>
    </row>
    <row r="51" customFormat="false" ht="19.5" hidden="false" customHeight="true" outlineLevel="0" collapsed="false">
      <c r="A51" s="2" t="s">
        <v>244</v>
      </c>
      <c r="B51" s="2"/>
      <c r="C51" s="2"/>
      <c r="D51" s="2"/>
      <c r="E51" s="2"/>
      <c r="F51" s="2"/>
    </row>
    <row r="52" customFormat="false" ht="18" hidden="false" customHeight="true" outlineLevel="0" collapsed="false">
      <c r="A52" s="2" t="s">
        <v>245</v>
      </c>
      <c r="B52" s="2"/>
      <c r="C52" s="2"/>
      <c r="D52" s="2"/>
      <c r="E52" s="2"/>
      <c r="F52" s="2"/>
    </row>
    <row r="53" customFormat="false" ht="18" hidden="false" customHeight="true" outlineLevel="0" collapsed="false">
      <c r="A53" s="1" t="s">
        <v>192</v>
      </c>
      <c r="B53" s="1" t="n">
        <f aca="false">B19</f>
        <v>3910.28233333333</v>
      </c>
      <c r="C53" s="1" t="n">
        <f aca="false">C19</f>
        <v>294.779333333333</v>
      </c>
      <c r="D53" s="1" t="n">
        <f aca="false">D19</f>
        <v>26.0194444444444</v>
      </c>
      <c r="E53" s="1" t="s">
        <v>193</v>
      </c>
      <c r="F53" s="1" t="s">
        <v>246</v>
      </c>
    </row>
    <row r="54" customFormat="false" ht="18" hidden="false" customHeight="true" outlineLevel="0" collapsed="false">
      <c r="A54" s="1" t="s">
        <v>202</v>
      </c>
      <c r="B54" s="1" t="n">
        <f aca="false">B24</f>
        <v>4105.79645</v>
      </c>
      <c r="C54" s="1" t="n">
        <f aca="false">C24</f>
        <v>309.5183</v>
      </c>
      <c r="D54" s="1" t="n">
        <f aca="false">D24</f>
        <v>27.3204166666667</v>
      </c>
      <c r="E54" s="1" t="s">
        <v>193</v>
      </c>
      <c r="F54" s="1" t="s">
        <v>247</v>
      </c>
    </row>
    <row r="55" customFormat="false" ht="18" hidden="false" customHeight="true" outlineLevel="0" collapsed="false">
      <c r="A55" s="1" t="s">
        <v>248</v>
      </c>
      <c r="B55" s="1" t="n">
        <f aca="false">B38</f>
        <v>224.192011466794</v>
      </c>
      <c r="C55" s="1" t="n">
        <f aca="false">C38</f>
        <v>16.9008695652174</v>
      </c>
      <c r="D55" s="1" t="n">
        <f aca="false">D38</f>
        <v>1.49179805701545</v>
      </c>
      <c r="E55" s="1" t="s">
        <v>225</v>
      </c>
      <c r="F55" s="1" t="s">
        <v>249</v>
      </c>
    </row>
    <row r="56" customFormat="false" ht="18" hidden="false" customHeight="true" outlineLevel="0" collapsed="false">
      <c r="A56" s="1" t="s">
        <v>250</v>
      </c>
      <c r="B56" s="1" t="n">
        <f aca="false">B47</f>
        <v>6.92961426160337</v>
      </c>
      <c r="C56" s="1" t="n">
        <f aca="false">C47</f>
        <v>0.522393755274262</v>
      </c>
      <c r="D56" s="1" t="n">
        <f aca="false">D47</f>
        <v>0.0461104078762307</v>
      </c>
      <c r="E56" s="1" t="s">
        <v>225</v>
      </c>
      <c r="F56" s="1" t="s">
        <v>251</v>
      </c>
    </row>
    <row r="57" customFormat="false" ht="19.5" hidden="false" customHeight="true" outlineLevel="0" collapsed="false">
      <c r="A57" s="1" t="s">
        <v>252</v>
      </c>
      <c r="B57" s="1" t="n">
        <f aca="false">B55+C55+D55</f>
        <v>242.584679089027</v>
      </c>
      <c r="C57" s="2" t="s">
        <v>253</v>
      </c>
      <c r="D57" s="2"/>
      <c r="E57" s="1" t="s">
        <v>225</v>
      </c>
      <c r="F57" s="1" t="s">
        <v>254</v>
      </c>
    </row>
    <row r="58" customFormat="false" ht="19.5" hidden="false" customHeight="true" outlineLevel="0" collapsed="false">
      <c r="A58" s="1" t="s">
        <v>255</v>
      </c>
      <c r="B58" s="1" t="n">
        <f aca="false">B56+C56+D56</f>
        <v>7.49811842475387</v>
      </c>
      <c r="C58" s="2" t="s">
        <v>253</v>
      </c>
      <c r="D58" s="2"/>
      <c r="E58" s="1" t="s">
        <v>225</v>
      </c>
      <c r="F58" s="1" t="s">
        <v>256</v>
      </c>
    </row>
    <row r="60" customFormat="false" ht="19.5" hidden="false" customHeight="true" outlineLevel="0" collapsed="false">
      <c r="A60" s="2"/>
      <c r="B60" s="2"/>
      <c r="C60" s="2"/>
      <c r="D60" s="2"/>
      <c r="E60" s="2"/>
      <c r="F60" s="2"/>
    </row>
    <row r="61" customFormat="false" ht="48" hidden="false" customHeight="true" outlineLevel="0" collapsed="false">
      <c r="B61" s="2"/>
      <c r="C61" s="2"/>
      <c r="D61" s="2"/>
      <c r="E61" s="2"/>
      <c r="F61" s="2"/>
    </row>
    <row r="62" customFormat="false" ht="48" hidden="false" customHeight="true" outlineLevel="0" collapsed="false">
      <c r="B62" s="2"/>
      <c r="C62" s="2"/>
      <c r="D62" s="2"/>
      <c r="E62" s="2"/>
      <c r="F62" s="2"/>
    </row>
    <row r="63" customFormat="false" ht="48" hidden="false" customHeight="true" outlineLevel="0" collapsed="false">
      <c r="B63" s="2"/>
      <c r="C63" s="2"/>
      <c r="D63" s="2"/>
      <c r="E63" s="2"/>
      <c r="F63" s="2"/>
    </row>
    <row r="64" customFormat="false" ht="48" hidden="false" customHeight="true" outlineLevel="0" collapsed="false">
      <c r="B64" s="2"/>
      <c r="C64" s="2"/>
      <c r="D64" s="2"/>
      <c r="E64" s="2"/>
      <c r="F64" s="2"/>
    </row>
    <row r="65" customFormat="false" ht="48" hidden="false" customHeight="true" outlineLevel="0" collapsed="false">
      <c r="B65" s="2"/>
      <c r="C65" s="2"/>
      <c r="D65" s="2"/>
      <c r="E65" s="2"/>
      <c r="F65" s="2"/>
    </row>
    <row r="66" customFormat="false" ht="48" hidden="false" customHeight="true" outlineLevel="0" collapsed="false">
      <c r="B66" s="2"/>
      <c r="C66" s="2"/>
      <c r="D66" s="2"/>
      <c r="E66" s="2"/>
      <c r="F66" s="2"/>
    </row>
  </sheetData>
  <mergeCells count="22">
    <mergeCell ref="A1:F1"/>
    <mergeCell ref="A2:F2"/>
    <mergeCell ref="A5:F5"/>
    <mergeCell ref="A6:F6"/>
    <mergeCell ref="A13:F13"/>
    <mergeCell ref="A14:F14"/>
    <mergeCell ref="A22:F22"/>
    <mergeCell ref="A30:F30"/>
    <mergeCell ref="A31:F31"/>
    <mergeCell ref="A41:F41"/>
    <mergeCell ref="A42:F42"/>
    <mergeCell ref="A51:F51"/>
    <mergeCell ref="A52:F52"/>
    <mergeCell ref="C57:D57"/>
    <mergeCell ref="C58:D58"/>
    <mergeCell ref="A60:F60"/>
    <mergeCell ref="B61:F61"/>
    <mergeCell ref="B62:F62"/>
    <mergeCell ref="B63:F63"/>
    <mergeCell ref="B64:F64"/>
    <mergeCell ref="B65:F65"/>
    <mergeCell ref="B66:F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2026-04-05T13:23:37Z</dcterms:created>
  <dc:creator>openpyxl</dc:creator>
  <dc:description/>
  <dc:language>en-US</dc:language>
  <cp:lastModifiedBy/>
  <dcterms:modified xsi:type="dcterms:W3CDTF">2026-05-09T09:51:31Z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