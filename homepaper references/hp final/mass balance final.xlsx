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tream compositions" sheetId="1" state="visible" r:id="rId3"/>
    <sheet name="heat of reactions" sheetId="2" state="visible" r:id="rId4"/>
    <sheet name="r1" sheetId="3" state="visible" r:id="rId5"/>
    <sheet name="elemental balance for r1" sheetId="4" state="visible" r:id="rId6"/>
    <sheet name="r2" sheetId="5" state="visible" r:id="rId7"/>
    <sheet name="gas cooler" sheetId="6" state="visible" r:id="rId8"/>
    <sheet name="quencher" sheetId="7" state="visible" r:id="rId9"/>
    <sheet name="crystallizer" sheetId="8" state="visible" r:id="rId10"/>
    <sheet name="lle" sheetId="9" state="visible" r:id="rId11"/>
    <sheet name="lle dwsim" sheetId="10" state="visible" r:id="rId12"/>
    <sheet name="esterification" sheetId="11" state="visible" r:id="rId13"/>
  </sheets>
  <externalReferences>
    <externalReference r:id="rId14"/>
  </externalReferences>
  <definedNames>
    <definedName function="false" hidden="false" localSheetId="6" name="solver_adj" vbProcedure="false">quencher!$AC$46</definedName>
    <definedName function="false" hidden="false" localSheetId="6" name="solver_asr" vbProcedure="false">0</definedName>
    <definedName function="false" hidden="false" localSheetId="6" name="solver_bbd" vbProcedure="false">1</definedName>
    <definedName function="false" hidden="false" localSheetId="6" name="solver_ccoeff" vbProcedure="false">0</definedName>
    <definedName function="false" hidden="false" localSheetId="6" name="solver_cog" vbProcedure="false">0</definedName>
    <definedName function="false" hidden="false" localSheetId="6" name="solver_crpb" vbProcedure="false">0</definedName>
    <definedName function="false" hidden="false" localSheetId="6" name="solver_eng" vbProcedure="false">2</definedName>
    <definedName function="false" hidden="false" localSheetId="6" name="solver_eps" vbProcedure="false">0</definedName>
    <definedName function="false" hidden="false" localSheetId="6" name="solver_int" vbProcedure="false">0</definedName>
    <definedName function="false" hidden="false" localSheetId="6" name="solver_lhs1" vbProcedure="false">quencher!$AC$46</definedName>
    <definedName function="false" hidden="false" localSheetId="6" name="solver_lo_eng" vbProcedure="false">"com.sun.star.comp.Calc.LpsolveSolver"</definedName>
    <definedName function="false" hidden="false" localSheetId="6" name="solver_mtpb" vbProcedure="false">0</definedName>
    <definedName function="false" hidden="false" localSheetId="6" name="solver_neg" vbProcedure="false">2</definedName>
    <definedName function="false" hidden="false" localSheetId="6" name="solver_num" vbProcedure="false">1</definedName>
    <definedName function="false" hidden="false" localSheetId="6" name="solver_opt" vbProcedure="false">quencher!$AC$52</definedName>
    <definedName function="false" hidden="false" localSheetId="6" name="solver_rel1" vbProcedure="false">3</definedName>
    <definedName function="false" hidden="false" localSheetId="6" name="solver_rhs1" vbProcedure="false">0</definedName>
    <definedName function="false" hidden="false" localSheetId="6" name="solver_smax" vbProcedure="false">0</definedName>
    <definedName function="false" hidden="false" localSheetId="6" name="solver_smin" vbProcedure="false">0</definedName>
    <definedName function="false" hidden="false" localSheetId="6" name="solver_soc" vbProcedure="false">0</definedName>
    <definedName function="false" hidden="false" localSheetId="6" name="solver_stol" vbProcedure="false">0</definedName>
    <definedName function="false" hidden="false" localSheetId="6" name="solver_tim" vbProcedure="false">100</definedName>
    <definedName function="false" hidden="false" localSheetId="6" name="solver_typ" vbProcedure="false">3</definedName>
    <definedName function="false" hidden="false" localSheetId="6" name="solver_val" vbProcedure="false">0</definedName>
    <definedName function="false" hidden="false" localSheetId="6" name="solver_vrt" vbProcedure="false">0</definedName>
    <definedName function="false" hidden="false" localSheetId="10" name="solver_adj" vbProcedure="false">esterification!$G$41,$F$26,$E$40</definedName>
    <definedName function="false" hidden="false" localSheetId="10" name="solver_asr" vbProcedure="false">0</definedName>
    <definedName function="false" hidden="false" localSheetId="10" name="solver_bbd" vbProcedure="false">1</definedName>
    <definedName function="false" hidden="false" localSheetId="10" name="solver_ccoeff" vbProcedure="false">0</definedName>
    <definedName function="false" hidden="false" localSheetId="10" name="solver_cog" vbProcedure="false">0</definedName>
    <definedName function="false" hidden="false" localSheetId="10" name="solver_crpb" vbProcedure="false">0</definedName>
    <definedName function="false" hidden="false" localSheetId="10" name="solver_eng" vbProcedure="false">2</definedName>
    <definedName function="false" hidden="false" localSheetId="10" name="solver_eps" vbProcedure="false">0</definedName>
    <definedName function="false" hidden="false" localSheetId="10" name="solver_int" vbProcedure="false">0</definedName>
    <definedName function="false" hidden="false" localSheetId="10" name="solver_lhs1" vbProcedure="false">esterification!$E$47</definedName>
    <definedName function="false" hidden="false" localSheetId="10" name="solver_lhs2" vbProcedure="false">esterification!$E$48</definedName>
    <definedName function="false" hidden="false" localSheetId="10" name="solver_lhs3" vbProcedure="false">esterification!$E$49</definedName>
    <definedName function="false" hidden="false" localSheetId="10" name="solver_lhs4" vbProcedure="false">esterification!$E$41</definedName>
    <definedName function="false" hidden="false" localSheetId="10" name="solver_lhs5" vbProcedure="false">esterification!$G$41</definedName>
    <definedName function="false" hidden="false" localSheetId="10" name="solver_lo_eng" vbProcedure="false">"com.sun.star.comp.Calc.LpsolveSolver"</definedName>
    <definedName function="false" hidden="false" localSheetId="10" name="solver_mtpb" vbProcedure="false">0</definedName>
    <definedName function="false" hidden="false" localSheetId="10" name="solver_neg" vbProcedure="false">2</definedName>
    <definedName function="false" hidden="false" localSheetId="10" name="solver_num" vbProcedure="false">5</definedName>
    <definedName function="false" hidden="false" localSheetId="10" name="solver_opt" vbProcedure="false">esterification!$E$47</definedName>
    <definedName function="false" hidden="false" localSheetId="10" name="solver_rel1" vbProcedure="false">2</definedName>
    <definedName function="false" hidden="false" localSheetId="10" name="solver_rel2" vbProcedure="false">2</definedName>
    <definedName function="false" hidden="false" localSheetId="10" name="solver_rel3" vbProcedure="false">2</definedName>
    <definedName function="false" hidden="false" localSheetId="10" name="solver_rel4" vbProcedure="false">3</definedName>
    <definedName function="false" hidden="false" localSheetId="10" name="solver_rel5" vbProcedure="false">3</definedName>
    <definedName function="false" hidden="false" localSheetId="10" name="solver_rhs1" vbProcedure="false">0</definedName>
    <definedName function="false" hidden="false" localSheetId="10" name="solver_rhs2" vbProcedure="false">0</definedName>
    <definedName function="false" hidden="false" localSheetId="10" name="solver_rhs3" vbProcedure="false">0</definedName>
    <definedName function="false" hidden="false" localSheetId="10" name="solver_rhs4" vbProcedure="false">0</definedName>
    <definedName function="false" hidden="false" localSheetId="10" name="solver_rhs5" vbProcedure="false">0</definedName>
    <definedName function="false" hidden="false" localSheetId="10" name="solver_smax" vbProcedure="false">0</definedName>
    <definedName function="false" hidden="false" localSheetId="10" name="solver_smin" vbProcedure="false">0</definedName>
    <definedName function="false" hidden="false" localSheetId="10" name="solver_soc" vbProcedure="false">0</definedName>
    <definedName function="false" hidden="false" localSheetId="10" name="solver_stol" vbProcedure="false">0</definedName>
    <definedName function="false" hidden="false" localSheetId="10" name="solver_tim" vbProcedure="false">100</definedName>
    <definedName function="false" hidden="false" localSheetId="10" name="solver_typ" vbProcedure="false">3</definedName>
    <definedName function="false" hidden="false" localSheetId="10" name="solver_val" vbProcedure="false">0</definedName>
    <definedName function="false" hidden="false" localSheetId="10" name="solver_vrt" vbProcedure="false">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<sst xmlns="http://schemas.openxmlformats.org/spreadsheetml/2006/main" count="911" uniqueCount="421">
  <si>
    <t xml:space="preserve">F1</t>
  </si>
  <si>
    <t xml:space="preserve">air</t>
  </si>
  <si>
    <t xml:space="preserve">F2</t>
  </si>
  <si>
    <t xml:space="preserve">recycle</t>
  </si>
  <si>
    <t xml:space="preserve">F3</t>
  </si>
  <si>
    <t xml:space="preserve">IB</t>
  </si>
  <si>
    <t xml:space="preserve">F4</t>
  </si>
  <si>
    <t xml:space="preserve">steam</t>
  </si>
  <si>
    <t xml:space="preserve">basis be 100 kmols in feed</t>
  </si>
  <si>
    <t xml:space="preserve">Stream 4</t>
  </si>
  <si>
    <t xml:space="preserve">mol%</t>
  </si>
  <si>
    <t xml:space="preserve">kmol/h</t>
  </si>
  <si>
    <t xml:space="preserve">mw</t>
  </si>
  <si>
    <t xml:space="preserve">kg/h</t>
  </si>
  <si>
    <t xml:space="preserve">PG1</t>
  </si>
  <si>
    <t xml:space="preserve">O2</t>
  </si>
  <si>
    <t xml:space="preserve">N2</t>
  </si>
  <si>
    <t xml:space="preserve">Total</t>
  </si>
  <si>
    <t xml:space="preserve">conv</t>
  </si>
  <si>
    <t xml:space="preserve">moles of steam + co2</t>
  </si>
  <si>
    <t xml:space="preserve">PG2</t>
  </si>
  <si>
    <t xml:space="preserve">300 deg C</t>
  </si>
  <si>
    <t xml:space="preserve">MAC</t>
  </si>
  <si>
    <t xml:space="preserve">CO</t>
  </si>
  <si>
    <t xml:space="preserve">mass of steam + co2</t>
  </si>
  <si>
    <t xml:space="preserve">MAA</t>
  </si>
  <si>
    <t xml:space="preserve">Acetic ac</t>
  </si>
  <si>
    <t xml:space="preserve">acetone</t>
  </si>
  <si>
    <t xml:space="preserve">acetalde</t>
  </si>
  <si>
    <t xml:space="preserve">acrolein</t>
  </si>
  <si>
    <t xml:space="preserve">formaldehyde</t>
  </si>
  <si>
    <t xml:space="preserve">acrylic acid</t>
  </si>
  <si>
    <t xml:space="preserve">oxygen</t>
  </si>
  <si>
    <t xml:space="preserve">nitrogen</t>
  </si>
  <si>
    <t xml:space="preserve">CO2</t>
  </si>
  <si>
    <t xml:space="preserve">total</t>
  </si>
  <si>
    <t xml:space="preserve">PG3</t>
  </si>
  <si>
    <t xml:space="preserve">PG2 + PG6</t>
  </si>
  <si>
    <t xml:space="preserve">1.41 mol% of an organic component containing 1.2 mol% of methacrolein, 0.03 mol% of methacrylic acid, 0.09 mol% of acetone, 0.05 mol% of acetaldehyde, 0.04 mol% of acrolein, and 17 mol% of oxygen and 13 mol% of water.</t>
  </si>
  <si>
    <t xml:space="preserve">PG6</t>
  </si>
  <si>
    <t xml:space="preserve">80 deg C</t>
  </si>
  <si>
    <t xml:space="preserve">acetaldehyde</t>
  </si>
  <si>
    <t xml:space="preserve">3.44 mol% methacrolein, 0.31 mol% CO, 0.12 mol% methacrylic acid, 0.12 mol% acetic acid, 0.15 mol% acetone, 0.15 mol% acetaldehyde, 0.06 mol% acrolein, 0.02 mol% formaldehyde and 0.01 mol% acrylic acid.</t>
  </si>
  <si>
    <t xml:space="preserve">243 deg C</t>
  </si>
  <si>
    <t xml:space="preserve">245 ℃ and a molar ratio of methacrolein to oxygen to water of 1 to 2.5 to 4.</t>
  </si>
  <si>
    <t xml:space="preserve">PG4_1</t>
  </si>
  <si>
    <t xml:space="preserve">selectivity</t>
  </si>
  <si>
    <t xml:space="preserve">yield</t>
  </si>
  <si>
    <t xml:space="preserve">302 deg C</t>
  </si>
  <si>
    <t xml:space="preserve">wt%</t>
  </si>
  <si>
    <t xml:space="preserve">if steam molar flow is x, </t>
  </si>
  <si>
    <t xml:space="preserve">TPA</t>
  </si>
  <si>
    <t xml:space="preserve">PG4_2</t>
  </si>
  <si>
    <t xml:space="preserve">230 deg C</t>
  </si>
  <si>
    <t xml:space="preserve">PG_5</t>
  </si>
  <si>
    <t xml:space="preserve">Acetone</t>
  </si>
  <si>
    <t xml:space="preserve">PS1_1</t>
  </si>
  <si>
    <t xml:space="preserve">MW</t>
  </si>
  <si>
    <t xml:space="preserve">cooled to</t>
  </si>
  <si>
    <t xml:space="preserve">13 deg C</t>
  </si>
  <si>
    <t xml:space="preserve">acetic acid</t>
  </si>
  <si>
    <t xml:space="preserve">water</t>
  </si>
  <si>
    <t xml:space="preserve">PS1_2</t>
  </si>
  <si>
    <t xml:space="preserve">W</t>
  </si>
  <si>
    <t xml:space="preserve">Water</t>
  </si>
  <si>
    <t xml:space="preserve">PS2</t>
  </si>
  <si>
    <t xml:space="preserve">PG7</t>
  </si>
  <si>
    <t xml:space="preserve">organic</t>
  </si>
  <si>
    <t xml:space="preserve">PS3</t>
  </si>
  <si>
    <t xml:space="preserve">PS4) contains 85 wt% methacrolein, 5 wt% acetone, 3 wt% acrolein and 0.5 wt% methacrylic acid,</t>
  </si>
  <si>
    <t xml:space="preserve">PS4</t>
  </si>
  <si>
    <t xml:space="preserve">Pg6 = pg4 + air + steam</t>
  </si>
  <si>
    <t xml:space="preserve">other organics</t>
  </si>
  <si>
    <t xml:space="preserve">A</t>
  </si>
  <si>
    <t xml:space="preserve">B</t>
  </si>
  <si>
    <t xml:space="preserve">C</t>
  </si>
  <si>
    <t xml:space="preserve">LR</t>
  </si>
  <si>
    <t xml:space="preserve">LR species</t>
  </si>
  <si>
    <t xml:space="preserve">Tr1</t>
  </si>
  <si>
    <t xml:space="preserve">H_rxn atTr1</t>
  </si>
  <si>
    <t xml:space="preserve">Tr_2</t>
  </si>
  <si>
    <t xml:space="preserve">H_rxn at Tr2</t>
  </si>
  <si>
    <t xml:space="preserve">IB + O2 → Acetone + Formaldehyde</t>
  </si>
  <si>
    <t xml:space="preserve">MAC +3O2 → Acetic acid + CO2 + H2O</t>
  </si>
  <si>
    <t xml:space="preserve">MAC + 2O2 → Acryclic acid + H2O</t>
  </si>
  <si>
    <t xml:space="preserve">acry</t>
  </si>
  <si>
    <t xml:space="preserve">IB + 2.5 O2 → Acroelin + CO2 + 2H2O</t>
  </si>
  <si>
    <t xml:space="preserve">acro</t>
  </si>
  <si>
    <t xml:space="preserve">MAC + 1.5O2 → Acrolein + CO2 + H2O</t>
  </si>
  <si>
    <t xml:space="preserve">MAC + 2.5O2 → Acetaldehyde + 2CO2 + H2O</t>
  </si>
  <si>
    <t xml:space="preserve">acetal</t>
  </si>
  <si>
    <t xml:space="preserve">IB + 4O2 → 4CO2 + 4 H2O</t>
  </si>
  <si>
    <t xml:space="preserve">co2</t>
  </si>
  <si>
    <t xml:space="preserve">IB + 2 O2 → 4CO + 4 H2O</t>
  </si>
  <si>
    <t xml:space="preserve">co</t>
  </si>
  <si>
    <t xml:space="preserve">MAC + 5.5O2 → 4CO2 + 3H2O</t>
  </si>
  <si>
    <t xml:space="preserve">MAC + 3.5O2 → 4CO + 3H2O</t>
  </si>
  <si>
    <t xml:space="preserve">formal</t>
  </si>
  <si>
    <t xml:space="preserve">IB + O2 → MAC + H2O</t>
  </si>
  <si>
    <t xml:space="preserve">mac</t>
  </si>
  <si>
    <t xml:space="preserve">MAC + 0.5 O2 → MAA </t>
  </si>
  <si>
    <t xml:space="preserve">maa</t>
  </si>
  <si>
    <t xml:space="preserve">Formaldehyde + O2 → CO2 + H2O</t>
  </si>
  <si>
    <t xml:space="preserve">form</t>
  </si>
  <si>
    <t xml:space="preserve">Formaldehyde + 0.5O2 → CO + H2O</t>
  </si>
  <si>
    <t xml:space="preserve">component</t>
  </si>
  <si>
    <t xml:space="preserve">At 25 deg c</t>
  </si>
  <si>
    <t xml:space="preserve">MAC formation</t>
  </si>
  <si>
    <t xml:space="preserve">Reaction no.</t>
  </si>
  <si>
    <t xml:space="preserve">Gibbs energy (kJ/mol)</t>
  </si>
  <si>
    <t xml:space="preserve">ΔH_rxn (kJ/mol)</t>
  </si>
  <si>
    <t xml:space="preserve">Formaldehyde</t>
  </si>
  <si>
    <t xml:space="preserve">MAA formation</t>
  </si>
  <si>
    <t xml:space="preserve">Acetaldehyde</t>
  </si>
  <si>
    <t xml:space="preserve">Acrolein</t>
  </si>
  <si>
    <t xml:space="preserve">Acryclic acid</t>
  </si>
  <si>
    <t xml:space="preserve">Methacrolein</t>
  </si>
  <si>
    <t xml:space="preserve">Methacrylic acid</t>
  </si>
  <si>
    <t xml:space="preserve">Impurity (TPA)</t>
  </si>
  <si>
    <t xml:space="preserve">Ethylene Oxide</t>
  </si>
  <si>
    <t xml:space="preserve">Isobutylene</t>
  </si>
  <si>
    <t xml:space="preserve">C4H8 + O2 → C4H6O + H2O</t>
  </si>
  <si>
    <t xml:space="preserve">4.8% by volume of methacrolein, 0.74 mol% of CO, 0.21 mol% of methacrylic acid, 0.21 mol% of acetic acid, 0.12 mol% of acetone, 0.21 mol% of acetaldehyde, 0.04 mol% of acrolein, 0.03 mol% of formaldehyde, 0.03 mol% of acrylic acid, 250ppm of isobutylene and 3.5% by volume of oxyge</t>
  </si>
  <si>
    <t xml:space="preserve">using elemental balance</t>
  </si>
  <si>
    <t xml:space="preserve">o2 consumed</t>
  </si>
  <si>
    <t xml:space="preserve">In</t>
  </si>
  <si>
    <t xml:space="preserve">Out</t>
  </si>
  <si>
    <t xml:space="preserve">diff</t>
  </si>
  <si>
    <t xml:space="preserve">kg/day</t>
  </si>
  <si>
    <t xml:space="preserve">ib consumed</t>
  </si>
  <si>
    <t xml:space="preserve">o2/ib</t>
  </si>
  <si>
    <t xml:space="preserve">H</t>
  </si>
  <si>
    <t xml:space="preserve">H2O</t>
  </si>
  <si>
    <t xml:space="preserve">O</t>
  </si>
  <si>
    <t xml:space="preserve">N</t>
  </si>
  <si>
    <t xml:space="preserve">mol/s</t>
  </si>
  <si>
    <t xml:space="preserve">formic acid</t>
  </si>
  <si>
    <t xml:space="preserve">gas phase</t>
  </si>
  <si>
    <t xml:space="preserve">Regression coefficients for enthalpy of formation</t>
  </si>
  <si>
    <t xml:space="preserve">regression coefficients</t>
  </si>
  <si>
    <t xml:space="preserve">Hrxn per moleproduct (kJ/mol)</t>
  </si>
  <si>
    <t xml:space="preserve">mol/h</t>
  </si>
  <si>
    <t xml:space="preserve">T</t>
  </si>
  <si>
    <t xml:space="preserve">H (kJ/mol)</t>
  </si>
  <si>
    <t xml:space="preserve">H (kJ/h)</t>
  </si>
  <si>
    <t xml:space="preserve">Reactions</t>
  </si>
  <si>
    <t xml:space="preserve">product flow rate</t>
  </si>
  <si>
    <t xml:space="preserve">Hrx (kJ/h)</t>
  </si>
  <si>
    <t xml:space="preserve">extent</t>
  </si>
  <si>
    <t xml:space="preserve">Hrx*extent</t>
  </si>
  <si>
    <t xml:space="preserve">reg coefficients for Cp (J/molK)</t>
  </si>
  <si>
    <t xml:space="preserve">Tb</t>
  </si>
  <si>
    <t xml:space="preserve">D</t>
  </si>
  <si>
    <t xml:space="preserve">E</t>
  </si>
  <si>
    <t xml:space="preserve">T_ref</t>
  </si>
  <si>
    <t xml:space="preserve">T_rxn</t>
  </si>
  <si>
    <t xml:space="preserve">Cp</t>
  </si>
  <si>
    <t xml:space="preserve">flow rate (mol/h)</t>
  </si>
  <si>
    <t xml:space="preserve">Fcp</t>
  </si>
  <si>
    <t xml:space="preserve">IB + 1.5 O2 → MAA + H2O</t>
  </si>
  <si>
    <t xml:space="preserve">IB +5O2 → Acetic acid + CO2 + 3H2O</t>
  </si>
  <si>
    <t xml:space="preserve">IB + 3O2 → Acryclic acid + 2H2O</t>
  </si>
  <si>
    <t xml:space="preserve">IB + 2.5O2 → Acrolein + CO2 +2 H2O</t>
  </si>
  <si>
    <t xml:space="preserve">IB + 3O2 → Acetaldehyde + 2CO + 2H2O</t>
  </si>
  <si>
    <t xml:space="preserve">IB + 6O2 → 4CO2 + 4 H2O</t>
  </si>
  <si>
    <t xml:space="preserve">IB + 4O2 → 4CO + 4 H2O</t>
  </si>
  <si>
    <t xml:space="preserve">acryclic acid</t>
  </si>
  <si>
    <t xml:space="preserve">MAC + 5O2 → 4CO2 + 3H2O</t>
  </si>
  <si>
    <t xml:space="preserve">methacrolein</t>
  </si>
  <si>
    <t xml:space="preserve">MAC + 3O2 → 4CO + 3H2O</t>
  </si>
  <si>
    <t xml:space="preserve">methacrylic acid</t>
  </si>
  <si>
    <t xml:space="preserve">Formaldehyde + 0.5O2 → co</t>
  </si>
  <si>
    <t xml:space="preserve">Hrxn*mol ib</t>
  </si>
  <si>
    <t xml:space="preserve">Overall Energy Balance</t>
  </si>
  <si>
    <t xml:space="preserve">T_rise</t>
  </si>
  <si>
    <t xml:space="preserve">K</t>
  </si>
  <si>
    <t xml:space="preserve">In – out</t>
  </si>
  <si>
    <t xml:space="preserve">kJ/h</t>
  </si>
  <si>
    <t xml:space="preserve">Cp avg</t>
  </si>
  <si>
    <t xml:space="preserve">J/molK</t>
  </si>
  <si>
    <t xml:space="preserve">kJ/s</t>
  </si>
  <si>
    <t xml:space="preserve">J/s</t>
  </si>
  <si>
    <t xml:space="preserve">flow</t>
  </si>
  <si>
    <t xml:space="preserve">number of atoms</t>
  </si>
  <si>
    <t xml:space="preserve">elemental flow (kmol/h)</t>
  </si>
  <si>
    <t xml:space="preserve">formula</t>
  </si>
  <si>
    <t xml:space="preserve">c4h8</t>
  </si>
  <si>
    <t xml:space="preserve">o2</t>
  </si>
  <si>
    <t xml:space="preserve">n2</t>
  </si>
  <si>
    <t xml:space="preserve">h2o</t>
  </si>
  <si>
    <t xml:space="preserve">C4H6O</t>
  </si>
  <si>
    <t xml:space="preserve">C4H6O2</t>
  </si>
  <si>
    <t xml:space="preserve">C2H4O2</t>
  </si>
  <si>
    <t xml:space="preserve">C3H6O</t>
  </si>
  <si>
    <t xml:space="preserve">C2H4O</t>
  </si>
  <si>
    <t xml:space="preserve">C3H4O</t>
  </si>
  <si>
    <t xml:space="preserve">CH2O</t>
  </si>
  <si>
    <t xml:space="preserve">C3H4O2</t>
  </si>
  <si>
    <t xml:space="preserve">CH2O2</t>
  </si>
  <si>
    <t xml:space="preserve">uncounted</t>
  </si>
  <si>
    <t xml:space="preserve">let flow rates</t>
  </si>
  <si>
    <t xml:space="preserve">X</t>
  </si>
  <si>
    <t xml:space="preserve">Y</t>
  </si>
  <si>
    <t xml:space="preserve">2Y</t>
  </si>
  <si>
    <t xml:space="preserve">2X + Y </t>
  </si>
  <si>
    <t xml:space="preserve">0.7 vol% methacrolein, 1 mol% CO, 2.28 mol% methacrylic acid, 0.31 mol% acetic acid, 0.12 mol% acetone, 0.21 mol% acetaldehyde, 0.04 mol% acrolein, 0.03 mol% formaldehyde, 0.03 mol% acrylic acid and 6.5 vol% oxygen</t>
  </si>
  <si>
    <t xml:space="preserve">C4H6O + 0.5 O2 → C4H6O2</t>
  </si>
  <si>
    <t xml:space="preserve">for figuring out how much makeup air we need to add</t>
  </si>
  <si>
    <t xml:space="preserve">PG3_1</t>
  </si>
  <si>
    <t xml:space="preserve">side reactions </t>
  </si>
  <si>
    <t xml:space="preserve">so based on this </t>
  </si>
  <si>
    <t xml:space="preserve">IB/MAC</t>
  </si>
  <si>
    <t xml:space="preserve">product</t>
  </si>
  <si>
    <t xml:space="preserve">moles of O2 per mole</t>
  </si>
  <si>
    <t xml:space="preserve">product moles</t>
  </si>
  <si>
    <t xml:space="preserve">Reactant moles</t>
  </si>
  <si>
    <t xml:space="preserve">product in system</t>
  </si>
  <si>
    <t xml:space="preserve">moles O2</t>
  </si>
  <si>
    <t xml:space="preserve">now we can also see that some moles of Formaldehyde get converted to CO2 and O2</t>
  </si>
  <si>
    <t xml:space="preserve">reactant</t>
  </si>
  <si>
    <t xml:space="preserve">O2 per mole reactant</t>
  </si>
  <si>
    <t xml:space="preserve">Reacting moles</t>
  </si>
  <si>
    <t xml:space="preserve">moles O2 used</t>
  </si>
  <si>
    <t xml:space="preserve">Acetic acid</t>
  </si>
  <si>
    <t xml:space="preserve">CO, CO2</t>
  </si>
  <si>
    <t xml:space="preserve">Impurity</t>
  </si>
  <si>
    <t xml:space="preserve">Side products</t>
  </si>
  <si>
    <t xml:space="preserve">out</t>
  </si>
  <si>
    <t xml:space="preserve">difference</t>
  </si>
  <si>
    <t xml:space="preserve">Moles of O2 to given MAA</t>
  </si>
  <si>
    <t xml:space="preserve">moles of O2 remaining unreacted</t>
  </si>
  <si>
    <t xml:space="preserve">moles of O2 added</t>
  </si>
  <si>
    <t xml:space="preserve">hence air added to the system is such that there is 5.4 moles of O2 in the air</t>
  </si>
  <si>
    <t xml:space="preserve">recycle air composition</t>
  </si>
  <si>
    <t xml:space="preserve">PG 3</t>
  </si>
  <si>
    <t xml:space="preserve">cooling req (T1 → T2)</t>
  </si>
  <si>
    <t xml:space="preserve">INLET</t>
  </si>
  <si>
    <t xml:space="preserve">T_1</t>
  </si>
  <si>
    <t xml:space="preserve">T_2</t>
  </si>
  <si>
    <t xml:space="preserve">H @ T1</t>
  </si>
  <si>
    <t xml:space="preserve">H@ T2</t>
  </si>
  <si>
    <t xml:space="preserve">ΔH (J/h)</t>
  </si>
  <si>
    <t xml:space="preserve">outlet</t>
  </si>
  <si>
    <t xml:space="preserve">T_amb</t>
  </si>
  <si>
    <t xml:space="preserve">Sensible heat at T (J/h)</t>
  </si>
  <si>
    <t xml:space="preserve">ΔH_form (kJ/molh)</t>
  </si>
  <si>
    <t xml:space="preserve">ΔH_form (kJ/h)</t>
  </si>
  <si>
    <t xml:space="preserve">Cooling inlet gas</t>
  </si>
  <si>
    <t xml:space="preserve">kW</t>
  </si>
  <si>
    <t xml:space="preserve">Overall energy balance</t>
  </si>
  <si>
    <t xml:space="preserve">sensible heat</t>
  </si>
  <si>
    <t xml:space="preserve">J/h</t>
  </si>
  <si>
    <t xml:space="preserve">heat of reaction</t>
  </si>
  <si>
    <t xml:space="preserve">cooling required</t>
  </si>
  <si>
    <t xml:space="preserve">JP2001253846A</t>
  </si>
  <si>
    <t xml:space="preserve">patent for gas cooler design</t>
  </si>
  <si>
    <t xml:space="preserve">H @ T1 (J/h)</t>
  </si>
  <si>
    <t xml:space="preserve">T1</t>
  </si>
  <si>
    <t xml:space="preserve">Tf</t>
  </si>
  <si>
    <t xml:space="preserve">H @ T2 (J/h)</t>
  </si>
  <si>
    <t xml:space="preserve">cp</t>
  </si>
  <si>
    <t xml:space="preserve">species</t>
  </si>
  <si>
    <t xml:space="preserve">DO THE MAT BALANCE FOR WATER AGAIN, WATER IN LIQUID STREAM, is the total liquid water added</t>
  </si>
  <si>
    <t xml:space="preserve">cooling water</t>
  </si>
  <si>
    <t xml:space="preserve">CW in</t>
  </si>
  <si>
    <t xml:space="preserve">At 25 deg C? </t>
  </si>
  <si>
    <t xml:space="preserve">Flow rate</t>
  </si>
  <si>
    <t xml:space="preserve">Molflow rate</t>
  </si>
  <si>
    <t xml:space="preserve">Tin</t>
  </si>
  <si>
    <t xml:space="preserve">H_gas at Tin (J/molh)</t>
  </si>
  <si>
    <t xml:space="preserve">Temperature for coolin</t>
  </si>
  <si>
    <t xml:space="preserve">PG5</t>
  </si>
  <si>
    <t xml:space="preserve">Tout</t>
  </si>
  <si>
    <t xml:space="preserve">Tb </t>
  </si>
  <si>
    <t xml:space="preserve">H_gas at T (J/molh)</t>
  </si>
  <si>
    <t xml:space="preserve">ΔH_gas (J/molh)</t>
  </si>
  <si>
    <t xml:space="preserve">Regression coeffs, J/mol</t>
  </si>
  <si>
    <t xml:space="preserve">h3</t>
  </si>
  <si>
    <t xml:space="preserve">h4</t>
  </si>
  <si>
    <t xml:space="preserve">h2</t>
  </si>
  <si>
    <t xml:space="preserve">h1-h2</t>
  </si>
  <si>
    <t xml:space="preserve">h3-h4</t>
  </si>
  <si>
    <t xml:space="preserve">PS1</t>
  </si>
  <si>
    <t xml:space="preserve">Mol%</t>
  </si>
  <si>
    <t xml:space="preserve">Molar flow rate(kmol/h)</t>
  </si>
  <si>
    <t xml:space="preserve">Mass flow rate (kg/h)</t>
  </si>
  <si>
    <t xml:space="preserve">H_cond (kJ/mol)</t>
  </si>
  <si>
    <t xml:space="preserve">T_cond</t>
  </si>
  <si>
    <t xml:space="preserve">A_liq</t>
  </si>
  <si>
    <t xml:space="preserve">B_liq</t>
  </si>
  <si>
    <t xml:space="preserve">C_liq</t>
  </si>
  <si>
    <t xml:space="preserve">D_liq</t>
  </si>
  <si>
    <t xml:space="preserve">H_liq at T cond(J/h)</t>
  </si>
  <si>
    <t xml:space="preserve">H_liq at T_out (J/h)</t>
  </si>
  <si>
    <t xml:space="preserve">A_gas</t>
  </si>
  <si>
    <t xml:space="preserve">B_gas</t>
  </si>
  <si>
    <t xml:space="preserve">C_gas</t>
  </si>
  <si>
    <t xml:space="preserve">D_gas</t>
  </si>
  <si>
    <t xml:space="preserve">E_gas</t>
  </si>
  <si>
    <t xml:space="preserve">H_gas at T_cond (J/h)</t>
  </si>
  <si>
    <t xml:space="preserve">ΔH_gas (J/h)</t>
  </si>
  <si>
    <t xml:space="preserve">H_condensation</t>
  </si>
  <si>
    <t xml:space="preserve">ΔH_liq (J/h)</t>
  </si>
  <si>
    <t xml:space="preserve">Assumption – all acetic acid and acrylic acid</t>
  </si>
  <si>
    <t xml:space="preserve">in liq phase</t>
  </si>
  <si>
    <t xml:space="preserve">overall energy balanace</t>
  </si>
  <si>
    <t xml:space="preserve">J/molh</t>
  </si>
  <si>
    <t xml:space="preserve">water in the quenching liquid is both the steam from the reactor outlet + cooling water</t>
  </si>
  <si>
    <t xml:space="preserve">total cooling required</t>
  </si>
  <si>
    <t xml:space="preserve">NOT A QUECNHER</t>
  </si>
  <si>
    <t xml:space="preserve">Gin + Lin = Gout + Lout</t>
  </si>
  <si>
    <t xml:space="preserve">let flow rate of water be</t>
  </si>
  <si>
    <t xml:space="preserve">water in = water out</t>
  </si>
  <si>
    <t xml:space="preserve">(basis)</t>
  </si>
  <si>
    <t xml:space="preserve">cooling by water</t>
  </si>
  <si>
    <t xml:space="preserve">T_in</t>
  </si>
  <si>
    <t xml:space="preserve">T_out</t>
  </si>
  <si>
    <t xml:space="preserve">Hin (kJ/kmolh)</t>
  </si>
  <si>
    <t xml:space="preserve">Hout (kJ/h)</t>
  </si>
  <si>
    <t xml:space="preserve">ΔH (kJ/h)</t>
  </si>
  <si>
    <t xml:space="preserve">ΔH (kW)</t>
  </si>
  <si>
    <t xml:space="preserve">solver</t>
  </si>
  <si>
    <t xml:space="preserve">flow rate of cooling water should be enough to give outlet temperatures as 80 deg C</t>
  </si>
  <si>
    <t xml:space="preserve">Now energy difference</t>
  </si>
  <si>
    <t xml:space="preserve">kg/s</t>
  </si>
  <si>
    <t xml:space="preserve">kJ/kgK</t>
  </si>
  <si>
    <t xml:space="preserve">mcPdT</t>
  </si>
  <si>
    <t xml:space="preserve">) in the boiling point under atmospheric pressure measured of the organic extractant that uses be less than 161 ℃.Then in principle can be at the step c1 of the inventive method β) in, for example, by distillation, preferably at least partly, preferably separated organic extractant and methacrylic acid to a large extent, wherein in water distilling apparatus, compare with pure methacrylic acid, it can be used as low-boiling point material and removes at least partly under higher level.Optionally, after and/or purification step cooling at least one step, separated organic extractant guiding can be got back to processing step c1 α) in.The preferred organic solvent of this step is especially selected from alkane and aromatic hydrocarbons, and preferred alkyl aromatic hydrocarbons is wherein especially preferably selected from least one organic solvent in heptane, toluene and dimethylbenzene, and is most preferably heptane, preferably normal heptane.Can be by known and suitable any mode to one skilled in the art, for example by washing tower, phase separator or other devices of being suitable for separated organic phase and water, extract.By at least a portion, preferred 50wt% at least, preferably at least about 70wt%, preferably at least about 80wt%, the methacrylic acid more preferably comprising in methacrylic aqueous acid at least about 90wt% is extracted in organic phase.</t>
  </si>
  <si>
    <t xml:space="preserve">Solvent chosen </t>
  </si>
  <si>
    <t xml:space="preserve">NBA</t>
  </si>
  <si>
    <t xml:space="preserve">Feed</t>
  </si>
  <si>
    <t xml:space="preserve">density</t>
  </si>
  <si>
    <t xml:space="preserve">m3/h</t>
  </si>
  <si>
    <t xml:space="preserve">Mol frac</t>
  </si>
  <si>
    <t xml:space="preserve">MEHQ</t>
  </si>
  <si>
    <t xml:space="preserve">F (kg/h)</t>
  </si>
  <si>
    <t xml:space="preserve">x_f (mol% of MAA in feed)</t>
  </si>
  <si>
    <t xml:space="preserve">let recovery be mass flow in extract/mass flow in feed (of MAA)</t>
  </si>
  <si>
    <t xml:space="preserve">x_e (mol% of MAA in extractant)</t>
  </si>
  <si>
    <t xml:space="preserve">recovery </t>
  </si>
  <si>
    <t xml:space="preserve">x_r (mol% of MAA in raffinate)</t>
  </si>
  <si>
    <t xml:space="preserve">Equations -</t>
  </si>
  <si>
    <t xml:space="preserve">mass flow</t>
  </si>
  <si>
    <t xml:space="preserve">S/F (molar)</t>
  </si>
  <si>
    <t xml:space="preserve">F + S = E + R</t>
  </si>
  <si>
    <t xml:space="preserve">molar flow</t>
  </si>
  <si>
    <t xml:space="preserve">S/F (mass)</t>
  </si>
  <si>
    <t xml:space="preserve">Fxf = Exe + Rxr</t>
  </si>
  <si>
    <t xml:space="preserve">g/ml</t>
  </si>
  <si>
    <t xml:space="preserve">Xe = Kd * xr</t>
  </si>
  <si>
    <t xml:space="preserve">l/h</t>
  </si>
  <si>
    <t xml:space="preserve">Exe </t>
  </si>
  <si>
    <t xml:space="preserve">Rxr</t>
  </si>
  <si>
    <t xml:space="preserve">E/R</t>
  </si>
  <si>
    <t xml:space="preserve">K_d(UNIFAC) mole frac</t>
  </si>
  <si>
    <t xml:space="preserve">xe</t>
  </si>
  <si>
    <t xml:space="preserve">mass flow rate (kg/h)</t>
  </si>
  <si>
    <t xml:space="preserve">xr</t>
  </si>
  <si>
    <t xml:space="preserve">nba</t>
  </si>
  <si>
    <t xml:space="preserve">extract phase</t>
  </si>
  <si>
    <t xml:space="preserve">Molar flow rate (kmol/h)</t>
  </si>
  <si>
    <t xml:space="preserve">mol frac</t>
  </si>
  <si>
    <t xml:space="preserve">Acrylic acid</t>
  </si>
  <si>
    <t xml:space="preserve">Species</t>
  </si>
  <si>
    <t xml:space="preserve">C2H4O + C4H6O2 → C6H10O3</t>
  </si>
  <si>
    <t xml:space="preserve">tph</t>
  </si>
  <si>
    <t xml:space="preserve">Conc in liq(mol/m3)</t>
  </si>
  <si>
    <t xml:space="preserve">outlet conc (mol/m3)</t>
  </si>
  <si>
    <t xml:space="preserve">EO</t>
  </si>
  <si>
    <t xml:space="preserve">MA</t>
  </si>
  <si>
    <t xml:space="preserve">HEMA</t>
  </si>
  <si>
    <t xml:space="preserve">kg/m3</t>
  </si>
  <si>
    <t xml:space="preserve">conv MA</t>
  </si>
  <si>
    <t xml:space="preserve">P</t>
  </si>
  <si>
    <t xml:space="preserve">ΔH_rxn</t>
  </si>
  <si>
    <t xml:space="preserve">kJ/mol</t>
  </si>
  <si>
    <t xml:space="preserve">TPH</t>
  </si>
  <si>
    <t xml:space="preserve">Rate (tph)</t>
  </si>
  <si>
    <t xml:space="preserve">Rate (kmol/h)</t>
  </si>
  <si>
    <t xml:space="preserve">distillation column outlet</t>
  </si>
  <si>
    <t xml:space="preserve">AcrA</t>
  </si>
  <si>
    <t xml:space="preserve">phase of EO and MAA at op conditions</t>
  </si>
  <si>
    <t xml:space="preserve">AcA</t>
  </si>
  <si>
    <t xml:space="preserve">Antoine constants</t>
  </si>
  <si>
    <t xml:space="preserve">1mmHg</t>
  </si>
  <si>
    <t xml:space="preserve">Pa</t>
  </si>
  <si>
    <t xml:space="preserve">Nba</t>
  </si>
  <si>
    <t xml:space="preserve">logP</t>
  </si>
  <si>
    <t xml:space="preserve">P (mmHg)</t>
  </si>
  <si>
    <t xml:space="preserve">P (Pa)</t>
  </si>
  <si>
    <t xml:space="preserve">Phase</t>
  </si>
  <si>
    <t xml:space="preserve">G</t>
  </si>
  <si>
    <t xml:space="preserve">L</t>
  </si>
  <si>
    <t xml:space="preserve">gamma_infite</t>
  </si>
  <si>
    <t xml:space="preserve">Ha</t>
  </si>
  <si>
    <t xml:space="preserve">Pa/m3mol</t>
  </si>
  <si>
    <t xml:space="preserve">Volume of the reactor;</t>
  </si>
  <si>
    <t xml:space="preserve">r</t>
  </si>
  <si>
    <t xml:space="preserve">mol/minmolcat</t>
  </si>
  <si>
    <t xml:space="preserve">K1</t>
  </si>
  <si>
    <t xml:space="preserve">K2</t>
  </si>
  <si>
    <t xml:space="preserve">K3</t>
  </si>
  <si>
    <t xml:space="preserve">K4</t>
  </si>
  <si>
    <t xml:space="preserve">stochiometry table</t>
  </si>
  <si>
    <t xml:space="preserve">conc at 0</t>
  </si>
  <si>
    <t xml:space="preserve">conc</t>
  </si>
  <si>
    <t xml:space="preserve">P/Ha</t>
  </si>
  <si>
    <t xml:space="preserve">CA0</t>
  </si>
  <si>
    <t xml:space="preserve">CAO(1-Xa)</t>
  </si>
  <si>
    <t xml:space="preserve">CA0Xa</t>
  </si>
  <si>
    <t xml:space="preserve">r_num</t>
  </si>
  <si>
    <t xml:space="preserve">r_den</t>
  </si>
  <si>
    <t xml:space="preserve">mol/minmolCat</t>
  </si>
  <si>
    <t xml:space="preserve">FA0</t>
  </si>
  <si>
    <t xml:space="preserve">mol/min</t>
  </si>
  <si>
    <t xml:space="preserve">mol Cat</t>
  </si>
  <si>
    <t xml:space="preserve">mol</t>
  </si>
  <si>
    <t xml:space="preserve">FeCl3</t>
  </si>
  <si>
    <t xml:space="preserve">g/mol</t>
  </si>
  <si>
    <t xml:space="preserve">g</t>
  </si>
  <si>
    <t xml:space="preserve">kg</t>
  </si>
</sst>
</file>

<file path=xl/styles.xml><?xml version="1.0" encoding="utf-8"?>
<styleSheet xmlns="http://schemas.openxmlformats.org/spreadsheetml/2006/main">
  <numFmts count="13">
    <numFmt numFmtId="164" formatCode="General"/>
    <numFmt numFmtId="165" formatCode="#,##0.00"/>
    <numFmt numFmtId="166" formatCode="General"/>
    <numFmt numFmtId="167" formatCode="0.00E+00"/>
    <numFmt numFmtId="168" formatCode="#,##0.000"/>
    <numFmt numFmtId="169" formatCode="#,##0.00000"/>
    <numFmt numFmtId="170" formatCode="0.0000"/>
    <numFmt numFmtId="171" formatCode="#,##0.0000"/>
    <numFmt numFmtId="172" formatCode="0.000"/>
    <numFmt numFmtId="173" formatCode="0.00"/>
    <numFmt numFmtId="174" formatCode="0.00%"/>
    <numFmt numFmtId="175" formatCode="#,##0.000000"/>
    <numFmt numFmtId="176" formatCode="#,##0"/>
  </numFmts>
  <fonts count="12">
    <font>
      <sz val="10"/>
      <name val="Arial"/>
      <family val="2"/>
      <charset val="1"/>
    </font>
    <font>
      <sz val="10"/>
      <name val="Arial"/>
      <family val="0"/>
    </font>
    <font>
      <sz val="10"/>
      <name val="Arial"/>
      <family val="0"/>
    </font>
    <font>
      <sz val="10"/>
      <name val="Arial"/>
      <family val="0"/>
    </font>
    <font>
      <sz val="10"/>
      <name val="Times New Roman"/>
      <family val="1"/>
      <charset val="1"/>
    </font>
    <font>
      <b val="true"/>
      <sz val="10"/>
      <name val="Arial"/>
      <family val="2"/>
      <charset val="1"/>
    </font>
    <font>
      <sz val="12"/>
      <name val="Arial"/>
      <family val="2"/>
      <charset val="1"/>
    </font>
    <font>
      <sz val="12"/>
      <name val="Times new roman"/>
      <family val="1"/>
      <charset val="1"/>
    </font>
    <font>
      <b val="true"/>
      <sz val="12"/>
      <name val="Times new roman"/>
      <family val="1"/>
      <charset val="1"/>
    </font>
    <font>
      <sz val="12"/>
      <color rgb="FF000000"/>
      <name val="Times new roman"/>
      <family val="1"/>
      <charset val="1"/>
    </font>
    <font>
      <sz val="12"/>
      <color rgb="FF000000"/>
      <name val="Times New Roman"/>
      <family val="0"/>
    </font>
    <font>
      <sz val="10"/>
      <name val="Arial"/>
      <family val="0"/>
      <charset val="1"/>
    </font>
  </fonts>
  <fills count="13">
    <fill>
      <patternFill patternType="none"/>
    </fill>
    <fill>
      <patternFill patternType="gray125"/>
    </fill>
    <fill>
      <patternFill patternType="solid">
        <fgColor rgb="FFFFDBB6"/>
        <bgColor rgb="FFFFE994"/>
      </patternFill>
    </fill>
    <fill>
      <patternFill patternType="solid">
        <fgColor rgb="FFFFF5CE"/>
        <bgColor rgb="FFFFFFA6"/>
      </patternFill>
    </fill>
    <fill>
      <patternFill patternType="solid">
        <fgColor rgb="FFFFE994"/>
        <bgColor rgb="FFFFDBB6"/>
      </patternFill>
    </fill>
    <fill>
      <patternFill patternType="solid">
        <fgColor rgb="FFAFD095"/>
        <bgColor rgb="FFB4C7DC"/>
      </patternFill>
    </fill>
    <fill>
      <patternFill patternType="solid">
        <fgColor rgb="FF77BC65"/>
        <bgColor rgb="FF999999"/>
      </patternFill>
    </fill>
    <fill>
      <patternFill patternType="solid">
        <fgColor rgb="FFFFAA95"/>
        <bgColor rgb="FFE0C2CD"/>
      </patternFill>
    </fill>
    <fill>
      <patternFill patternType="solid">
        <fgColor rgb="FFE0C2CD"/>
        <bgColor rgb="FFB4C7DC"/>
      </patternFill>
    </fill>
    <fill>
      <patternFill patternType="solid">
        <fgColor rgb="FFFFFF00"/>
        <bgColor rgb="FFFFFF00"/>
      </patternFill>
    </fill>
    <fill>
      <patternFill patternType="solid">
        <fgColor rgb="FFDEE6EF"/>
        <bgColor rgb="FFCCFFFF"/>
      </patternFill>
    </fill>
    <fill>
      <patternFill patternType="solid">
        <fgColor rgb="FFFFFFA6"/>
        <bgColor rgb="FFFFF5CE"/>
      </patternFill>
    </fill>
    <fill>
      <patternFill patternType="solid">
        <fgColor rgb="FFB4C7DC"/>
        <bgColor rgb="FFAFD095"/>
      </patternFill>
    </fill>
  </fills>
  <borders count="10">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right" vertical="center" textRotation="0" wrapText="true" indent="0" shrinkToFit="false"/>
      <protection locked="true" hidden="false"/>
    </xf>
    <xf numFmtId="165" fontId="0" fillId="0" borderId="0" xfId="0" applyFont="false" applyBorder="false" applyAlignment="true" applyProtection="true">
      <alignment horizontal="right" vertical="center" textRotation="0" wrapText="true" indent="0" shrinkToFit="false"/>
      <protection locked="true" hidden="false"/>
    </xf>
    <xf numFmtId="165"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5" fontId="0" fillId="0" borderId="0" xfId="0" applyFont="true" applyBorder="true" applyAlignment="true" applyProtection="true">
      <alignment horizontal="center" vertical="center"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true" applyAlignment="true" applyProtection="true">
      <alignment horizontal="general" vertical="bottom" textRotation="0" wrapText="false" indent="0" shrinkToFit="false"/>
      <protection locked="true" hidden="false"/>
    </xf>
    <xf numFmtId="165" fontId="0" fillId="3" borderId="1" xfId="0" applyFont="true" applyBorder="true" applyAlignment="true" applyProtection="true">
      <alignment horizontal="center" vertical="center" textRotation="0" wrapText="false" indent="0" shrinkToFit="false"/>
      <protection locked="true" hidden="false"/>
    </xf>
    <xf numFmtId="165" fontId="0" fillId="3" borderId="1" xfId="0" applyFont="false" applyBorder="true" applyAlignment="true" applyProtection="true">
      <alignment horizontal="general" vertical="bottom" textRotation="0" wrapText="false" indent="0" shrinkToFit="false"/>
      <protection locked="true" hidden="false"/>
    </xf>
    <xf numFmtId="167" fontId="0" fillId="3" borderId="1"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true" applyAlignment="true" applyProtection="true">
      <alignment horizontal="center" vertical="bottom" textRotation="0" wrapText="false" indent="0" shrinkToFit="false"/>
      <protection locked="true" hidden="false"/>
    </xf>
    <xf numFmtId="165" fontId="7" fillId="0" borderId="0"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general" vertical="bottom" textRotation="0" wrapText="false" indent="0" shrinkToFit="false"/>
      <protection locked="true" hidden="false"/>
    </xf>
    <xf numFmtId="165" fontId="7" fillId="4"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65" fontId="7" fillId="5" borderId="0" xfId="0" applyFont="true" applyBorder="false" applyAlignment="true" applyProtection="true">
      <alignment horizontal="general"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false" indent="0" shrinkToFit="false"/>
      <protection locked="true" hidden="false"/>
    </xf>
    <xf numFmtId="165" fontId="7" fillId="0" borderId="0" xfId="0" applyFont="true" applyBorder="true" applyAlignment="true" applyProtection="true">
      <alignment horizontal="center" vertical="center" textRotation="0" wrapText="false" indent="0" shrinkToFit="false"/>
      <protection locked="true" hidden="false"/>
    </xf>
    <xf numFmtId="165" fontId="7" fillId="6"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tru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9" fontId="7" fillId="0" borderId="0" xfId="0" applyFont="true" applyBorder="false" applyAlignment="true" applyProtection="true">
      <alignment horizontal="general" vertical="bottom" textRotation="0" wrapText="false" indent="0" shrinkToFit="false"/>
      <protection locked="true" hidden="false"/>
    </xf>
    <xf numFmtId="167" fontId="7" fillId="6"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67" fontId="9" fillId="6"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7" fontId="8" fillId="6"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6" fontId="7" fillId="7" borderId="0" xfId="0" applyFont="true" applyBorder="false" applyAlignment="true" applyProtection="true">
      <alignment horizontal="general" vertical="bottom" textRotation="0" wrapText="false" indent="0" shrinkToFit="false"/>
      <protection locked="true" hidden="false"/>
    </xf>
    <xf numFmtId="165" fontId="7" fillId="7" borderId="0" xfId="0" applyFont="true" applyBorder="false" applyAlignment="true" applyProtection="true">
      <alignment horizontal="general" vertical="bottom" textRotation="0" wrapText="false" indent="0" shrinkToFit="false"/>
      <protection locked="true" hidden="false"/>
    </xf>
    <xf numFmtId="170" fontId="7" fillId="0" borderId="0" xfId="0" applyFont="true" applyBorder="false" applyAlignment="true" applyProtection="true">
      <alignment horizontal="general" vertical="bottom" textRotation="0" wrapText="false" indent="0" shrinkToFit="false"/>
      <protection locked="true" hidden="false"/>
    </xf>
    <xf numFmtId="166" fontId="7" fillId="0" borderId="3" xfId="0" applyFont="true" applyBorder="true" applyAlignment="true" applyProtection="true">
      <alignment horizontal="general" vertical="bottom" textRotation="0" wrapText="false" indent="0" shrinkToFit="false"/>
      <protection locked="true" hidden="false"/>
    </xf>
    <xf numFmtId="166" fontId="7" fillId="0" borderId="4" xfId="0" applyFont="true" applyBorder="true" applyAlignment="true" applyProtection="true">
      <alignment horizontal="general" vertical="bottom" textRotation="0" wrapText="false" indent="0" shrinkToFit="false"/>
      <protection locked="true" hidden="false"/>
    </xf>
    <xf numFmtId="166" fontId="7" fillId="0" borderId="5" xfId="0" applyFont="true" applyBorder="true" applyAlignment="true" applyProtection="true">
      <alignment horizontal="general" vertical="bottom" textRotation="0" wrapText="false" indent="0" shrinkToFit="false"/>
      <protection locked="true" hidden="false"/>
    </xf>
    <xf numFmtId="166" fontId="7" fillId="0" borderId="6" xfId="0" applyFont="true" applyBorder="true" applyAlignment="true" applyProtection="true">
      <alignment horizontal="general" vertical="bottom" textRotation="0" wrapText="false" indent="0" shrinkToFit="false"/>
      <protection locked="true" hidden="false"/>
    </xf>
    <xf numFmtId="166" fontId="7" fillId="0" borderId="7" xfId="0" applyFont="true" applyBorder="true" applyAlignment="true" applyProtection="true">
      <alignment horizontal="general" vertical="bottom" textRotation="0" wrapText="false" indent="0" shrinkToFit="false"/>
      <protection locked="true" hidden="false"/>
    </xf>
    <xf numFmtId="164" fontId="7" fillId="0" borderId="8"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6" fontId="7" fillId="0" borderId="9" xfId="0" applyFont="true" applyBorder="true" applyAlignment="true" applyProtection="true">
      <alignment horizontal="general" vertical="bottom" textRotation="0" wrapText="false" indent="0" shrinkToFit="false"/>
      <protection locked="true" hidden="false"/>
    </xf>
    <xf numFmtId="165" fontId="7" fillId="0" borderId="7"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7" fillId="0" borderId="9"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6" fontId="0" fillId="7" borderId="0" xfId="0" applyFont="false" applyBorder="false" applyAlignment="true" applyProtection="true">
      <alignment horizontal="general" vertical="bottom" textRotation="0" wrapText="false" indent="0" shrinkToFit="false"/>
      <protection locked="true" hidden="false"/>
    </xf>
    <xf numFmtId="165" fontId="0" fillId="7"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8" borderId="0" xfId="0" applyFont="false" applyBorder="false" applyAlignment="true" applyProtection="true">
      <alignment horizontal="general" vertical="bottom" textRotation="0" wrapText="false" indent="0" shrinkToFit="false"/>
      <protection locked="true" hidden="false"/>
    </xf>
    <xf numFmtId="165" fontId="0" fillId="8" borderId="0" xfId="0" applyFont="true" applyBorder="false" applyAlignment="true" applyProtection="true">
      <alignment horizontal="general" vertical="bottom" textRotation="0" wrapText="false" indent="0" shrinkToFit="false"/>
      <protection locked="tru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5" fontId="0" fillId="10" borderId="0" xfId="0" applyFont="fals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5" fontId="0" fillId="5" borderId="0" xfId="0" applyFont="fals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general" vertical="bottom" textRotation="0" wrapText="false" indent="0" shrinkToFit="false"/>
      <protection locked="true" hidden="false"/>
    </xf>
    <xf numFmtId="165" fontId="7" fillId="11" borderId="0" xfId="0" applyFont="true" applyBorder="false" applyAlignment="true" applyProtection="true">
      <alignment horizontal="general" vertical="bottom" textRotation="0" wrapText="false" indent="0" shrinkToFit="false"/>
      <protection locked="true" hidden="false"/>
    </xf>
    <xf numFmtId="165" fontId="7" fillId="10" borderId="0" xfId="0" applyFont="true" applyBorder="false" applyAlignment="true" applyProtection="true">
      <alignment horizontal="general" vertical="bottom" textRotation="0" wrapText="false" indent="0" shrinkToFit="false"/>
      <protection locked="true" hidden="false"/>
    </xf>
    <xf numFmtId="165" fontId="7" fillId="12"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right" vertical="bottom" textRotation="0" wrapText="false" indent="0" shrinkToFit="false"/>
      <protection locked="true" hidden="false"/>
    </xf>
    <xf numFmtId="165" fontId="0" fillId="12" borderId="0" xfId="0" applyFont="fals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73"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general" vertical="bottom" textRotation="0" wrapText="false" indent="0" shrinkToFit="false"/>
      <protection locked="true" hidden="false"/>
    </xf>
    <xf numFmtId="168" fontId="0" fillId="0" borderId="0" xfId="0" applyFont="false" applyBorder="true" applyAlignment="true" applyProtection="true">
      <alignment horizontal="general" vertical="bottom" textRotation="0" wrapText="false" indent="0" shrinkToFit="false"/>
      <protection locked="true" hidden="false"/>
    </xf>
    <xf numFmtId="167" fontId="0" fillId="0" borderId="0" xfId="0" applyFont="false" applyBorder="tru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70" fontId="11" fillId="0" borderId="0" xfId="0" applyFont="true" applyBorder="false" applyAlignment="true" applyProtection="true">
      <alignment horizontal="general" vertical="bottom" textRotation="0" wrapText="true" indent="0" shrinkToFit="false"/>
      <protection locked="true" hidden="false"/>
    </xf>
    <xf numFmtId="175" fontId="0" fillId="0" borderId="0" xfId="0" applyFont="false" applyBorder="fals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FFE994"/>
      <rgbColor rgb="FFFFFFA6"/>
      <rgbColor rgb="FFAFD095"/>
      <rgbColor rgb="FFFFAA95"/>
      <rgbColor rgb="FFCC99FF"/>
      <rgbColor rgb="FFFFDBB6"/>
      <rgbColor rgb="FF3366FF"/>
      <rgbColor rgb="FF33CCCC"/>
      <rgbColor rgb="FF77BC65"/>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externalLink" Target="externalLinks/externalLink1.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65160</xdr:colOff>
      <xdr:row>8</xdr:row>
      <xdr:rowOff>21600</xdr:rowOff>
    </xdr:from>
    <xdr:to>
      <xdr:col>9</xdr:col>
      <xdr:colOff>476640</xdr:colOff>
      <xdr:row>11</xdr:row>
      <xdr:rowOff>95040</xdr:rowOff>
    </xdr:to>
    <xdr:sp>
      <xdr:nvSpPr>
        <xdr:cNvPr id="0" name="Shape 1"/>
        <xdr:cNvSpPr/>
      </xdr:nvSpPr>
      <xdr:spPr>
        <a:xfrm>
          <a:off x="6346440" y="1517760"/>
          <a:ext cx="1983240" cy="644760"/>
        </a:xfrm>
        <a:custGeom>
          <a:avLst/>
          <a:gdLst>
            <a:gd name="textAreaLeft" fmla="*/ 0 w 1983240"/>
            <a:gd name="textAreaRight" fmla="*/ 2007000 w 1983240"/>
            <a:gd name="textAreaTop" fmla="*/ 0 h 644760"/>
            <a:gd name="textAreaBottom" fmla="*/ 668520 h 644760"/>
          </a:gdLst>
          <a:ah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729fcf"/>
        </a:solidFill>
        <a:ln w="25560">
          <a:solidFill>
            <a:srgbClr val="3465a4"/>
          </a:solidFill>
          <a:round/>
        </a:ln>
      </xdr:spPr>
      <xdr:style>
        <a:lnRef idx="0"/>
        <a:fillRef idx="0"/>
        <a:effectRef idx="0"/>
        <a:fontRef idx="minor"/>
      </xdr:style>
      <xdr:txBody>
        <a:bodyPr wrap="none" lIns="0" rIns="0" tIns="0" bIns="0" anchor="ctr" anchorCtr="1">
          <a:noAutofit/>
        </a:bodyPr>
        <a:p>
          <a:pPr algn="ctr">
            <a:lnSpc>
              <a:spcPct val="100000"/>
            </a:lnSpc>
          </a:pPr>
          <a:r>
            <a:rPr b="0" lang="en-GB" sz="1200" spc="-1" strike="noStrike">
              <a:solidFill>
                <a:srgbClr val="000000"/>
              </a:solidFill>
              <a:latin typeface="Times New Roman"/>
              <a:ea typeface="DejaVu Sans"/>
            </a:rPr>
            <a:t>R1</a:t>
          </a:r>
          <a:endParaRPr b="0" lang="en-GB" sz="1200" spc="-1" strike="noStrike">
            <a:latin typeface="Times New Roman"/>
          </a:endParaRPr>
        </a:p>
      </xdr:txBody>
    </xdr:sp>
    <xdr:clientData/>
  </xdr:twoCellAnchor>
  <xdr:twoCellAnchor editAs="oneCell">
    <xdr:from>
      <xdr:col>10</xdr:col>
      <xdr:colOff>599400</xdr:colOff>
      <xdr:row>24</xdr:row>
      <xdr:rowOff>79560</xdr:rowOff>
    </xdr:from>
    <xdr:to>
      <xdr:col>10</xdr:col>
      <xdr:colOff>1341360</xdr:colOff>
      <xdr:row>37</xdr:row>
      <xdr:rowOff>132120</xdr:rowOff>
    </xdr:to>
    <xdr:sp>
      <xdr:nvSpPr>
        <xdr:cNvPr id="1" name="Shape 9"/>
        <xdr:cNvSpPr/>
      </xdr:nvSpPr>
      <xdr:spPr>
        <a:xfrm>
          <a:off x="9265320" y="4623480"/>
          <a:ext cx="741960" cy="2529360"/>
        </a:xfrm>
        <a:custGeom>
          <a:avLst/>
          <a:gdLst>
            <a:gd name="textAreaLeft" fmla="*/ 0 w 741960"/>
            <a:gd name="textAreaRight" fmla="*/ 764280 w 741960"/>
            <a:gd name="textAreaTop" fmla="*/ 0 h 2529360"/>
            <a:gd name="textAreaBottom" fmla="*/ 2558160 h 2529360"/>
          </a:gdLst>
          <a:ah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729fcf"/>
        </a:solidFill>
        <a:ln w="25560">
          <a:solidFill>
            <a:srgbClr val="3465a4"/>
          </a:solidFill>
          <a:round/>
        </a:ln>
      </xdr:spPr>
      <xdr:style>
        <a:lnRef idx="0"/>
        <a:fillRef idx="0"/>
        <a:effectRef idx="0"/>
        <a:fontRef idx="minor"/>
      </xdr:style>
      <xdr:txBody>
        <a:bodyPr wrap="none" lIns="0" rIns="0" tIns="0" bIns="0" anchor="ctr" anchorCtr="1">
          <a:noAutofit/>
        </a:bodyPr>
        <a:p>
          <a:pPr algn="ctr">
            <a:lnSpc>
              <a:spcPct val="100000"/>
            </a:lnSpc>
          </a:pPr>
          <a:r>
            <a:rPr b="0" lang="en-GB" sz="1200" spc="-1" strike="noStrike">
              <a:solidFill>
                <a:srgbClr val="000000"/>
              </a:solidFill>
              <a:latin typeface="Times New Roman"/>
              <a:ea typeface="DejaVu Sans"/>
            </a:rPr>
            <a:t>R1</a:t>
          </a:r>
          <a:endParaRPr b="0" lang="en-GB" sz="1200" spc="-1" strike="noStrike">
            <a:latin typeface="Times New Roman"/>
          </a:endParaRPr>
        </a:p>
      </xdr:txBody>
    </xdr:sp>
    <xdr:clientData/>
  </xdr:twoCellAnchor>
  <xdr:twoCellAnchor editAs="oneCell">
    <xdr:from>
      <xdr:col>33</xdr:col>
      <xdr:colOff>469440</xdr:colOff>
      <xdr:row>42</xdr:row>
      <xdr:rowOff>81360</xdr:rowOff>
    </xdr:from>
    <xdr:to>
      <xdr:col>36</xdr:col>
      <xdr:colOff>60840</xdr:colOff>
      <xdr:row>53</xdr:row>
      <xdr:rowOff>110520</xdr:rowOff>
    </xdr:to>
    <xdr:pic>
      <xdr:nvPicPr>
        <xdr:cNvPr id="2" name="Image 1" descr=""/>
        <xdr:cNvPicPr/>
      </xdr:nvPicPr>
      <xdr:blipFill>
        <a:blip r:embed="rId1"/>
        <a:stretch/>
      </xdr:blipFill>
      <xdr:spPr>
        <a:xfrm>
          <a:off x="32835240" y="8054280"/>
          <a:ext cx="2030040" cy="2124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729360</xdr:colOff>
      <xdr:row>10</xdr:row>
      <xdr:rowOff>34920</xdr:rowOff>
    </xdr:from>
    <xdr:to>
      <xdr:col>11</xdr:col>
      <xdr:colOff>231840</xdr:colOff>
      <xdr:row>13</xdr:row>
      <xdr:rowOff>108000</xdr:rowOff>
    </xdr:to>
    <xdr:sp>
      <xdr:nvSpPr>
        <xdr:cNvPr id="3" name="Shape 2"/>
        <xdr:cNvSpPr/>
      </xdr:nvSpPr>
      <xdr:spPr>
        <a:xfrm>
          <a:off x="8870040" y="1911960"/>
          <a:ext cx="1128240" cy="644760"/>
        </a:xfrm>
        <a:custGeom>
          <a:avLst/>
          <a:gdLst>
            <a:gd name="textAreaLeft" fmla="*/ 0 w 1128240"/>
            <a:gd name="textAreaRight" fmla="*/ 1151640 w 1128240"/>
            <a:gd name="textAreaTop" fmla="*/ 0 h 644760"/>
            <a:gd name="textAreaBottom" fmla="*/ 668520 h 644760"/>
          </a:gdLst>
          <a:ah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729fcf"/>
        </a:solidFill>
        <a:ln w="25560">
          <a:solidFill>
            <a:srgbClr val="3465a4"/>
          </a:solidFill>
          <a:round/>
        </a:ln>
      </xdr:spPr>
      <xdr:style>
        <a:lnRef idx="0"/>
        <a:fillRef idx="0"/>
        <a:effectRef idx="0"/>
        <a:fontRef idx="minor"/>
      </xdr:style>
      <xdr:txBody>
        <a:bodyPr wrap="none" lIns="0" rIns="0" tIns="0" bIns="0" anchor="ctr" anchorCtr="1">
          <a:noAutofit/>
        </a:bodyPr>
        <a:p>
          <a:pPr algn="ctr">
            <a:lnSpc>
              <a:spcPct val="100000"/>
            </a:lnSpc>
          </a:pPr>
          <a:r>
            <a:rPr b="0" lang="en-GB" sz="1200" spc="-1" strike="noStrike">
              <a:solidFill>
                <a:srgbClr val="000000"/>
              </a:solidFill>
              <a:latin typeface="Times New Roman"/>
              <a:ea typeface="DejaVu Sans"/>
            </a:rPr>
            <a:t>R2</a:t>
          </a:r>
          <a:endParaRPr b="0" lang="en-GB" sz="1200" spc="-1" strike="noStrike">
            <a:latin typeface="Times New Roman"/>
          </a:endParaRPr>
        </a:p>
      </xdr:txBody>
    </xdr:sp>
    <xdr:clientData/>
  </xdr:twoCellAnchor>
  <xdr:twoCellAnchor editAs="oneCell">
    <xdr:from>
      <xdr:col>6</xdr:col>
      <xdr:colOff>434880</xdr:colOff>
      <xdr:row>10</xdr:row>
      <xdr:rowOff>47160</xdr:rowOff>
    </xdr:from>
    <xdr:to>
      <xdr:col>7</xdr:col>
      <xdr:colOff>749880</xdr:colOff>
      <xdr:row>13</xdr:row>
      <xdr:rowOff>120240</xdr:rowOff>
    </xdr:to>
    <xdr:sp>
      <xdr:nvSpPr>
        <xdr:cNvPr id="4" name="Shape 5"/>
        <xdr:cNvSpPr/>
      </xdr:nvSpPr>
      <xdr:spPr>
        <a:xfrm>
          <a:off x="6137280" y="1924200"/>
          <a:ext cx="1127880" cy="644760"/>
        </a:xfrm>
        <a:custGeom>
          <a:avLst/>
          <a:gdLst>
            <a:gd name="textAreaLeft" fmla="*/ 0 w 1127880"/>
            <a:gd name="textAreaRight" fmla="*/ 1151280 w 1127880"/>
            <a:gd name="textAreaTop" fmla="*/ 0 h 644760"/>
            <a:gd name="textAreaBottom" fmla="*/ 668520 h 644760"/>
          </a:gdLst>
          <a:ah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729fcf"/>
        </a:solidFill>
        <a:ln w="25560">
          <a:solidFill>
            <a:srgbClr val="3465a4"/>
          </a:solidFill>
          <a:round/>
        </a:ln>
      </xdr:spPr>
      <xdr:style>
        <a:lnRef idx="0"/>
        <a:fillRef idx="0"/>
        <a:effectRef idx="0"/>
        <a:fontRef idx="minor"/>
      </xdr:style>
      <xdr:txBody>
        <a:bodyPr wrap="none" lIns="0" rIns="0" tIns="0" bIns="0" anchor="ctr" anchorCtr="1">
          <a:noAutofit/>
        </a:bodyPr>
        <a:p>
          <a:pPr algn="ctr">
            <a:lnSpc>
              <a:spcPct val="100000"/>
            </a:lnSpc>
          </a:pPr>
          <a:r>
            <a:rPr b="0" lang="en-GB" sz="1200" spc="-1" strike="noStrike">
              <a:solidFill>
                <a:srgbClr val="000000"/>
              </a:solidFill>
              <a:latin typeface="Times New Roman"/>
              <a:ea typeface="DejaVu Sans"/>
            </a:rPr>
            <a:t>G2</a:t>
          </a:r>
          <a:endParaRPr b="0" lang="en-GB" sz="1200" spc="-1" strike="noStrike">
            <a:latin typeface="Times New Roman"/>
          </a:endParaRPr>
        </a:p>
      </xdr:txBody>
    </xdr:sp>
    <xdr:clientData/>
  </xdr:twoCellAnchor>
  <xdr:twoCellAnchor editAs="oneCell">
    <xdr:from>
      <xdr:col>13</xdr:col>
      <xdr:colOff>510840</xdr:colOff>
      <xdr:row>45</xdr:row>
      <xdr:rowOff>30600</xdr:rowOff>
    </xdr:from>
    <xdr:to>
      <xdr:col>14</xdr:col>
      <xdr:colOff>178560</xdr:colOff>
      <xdr:row>48</xdr:row>
      <xdr:rowOff>104040</xdr:rowOff>
    </xdr:to>
    <xdr:sp>
      <xdr:nvSpPr>
        <xdr:cNvPr id="5" name="Shape 10"/>
        <xdr:cNvSpPr/>
      </xdr:nvSpPr>
      <xdr:spPr>
        <a:xfrm>
          <a:off x="12622320" y="8575200"/>
          <a:ext cx="1127520" cy="644760"/>
        </a:xfrm>
        <a:custGeom>
          <a:avLst/>
          <a:gdLst>
            <a:gd name="textAreaLeft" fmla="*/ 0 w 1127520"/>
            <a:gd name="textAreaRight" fmla="*/ 1150560 w 1127520"/>
            <a:gd name="textAreaTop" fmla="*/ 0 h 644760"/>
            <a:gd name="textAreaBottom" fmla="*/ 668520 h 644760"/>
          </a:gdLst>
          <a:ahLst/>
          <a:rect l="textAreaLeft" t="textAreaTop" r="textAreaRight" b="textAreaBottom"/>
          <a:pathLst>
            <a:path w="21600" h="21600">
              <a:moveTo>
                <a:pt x="0" y="0"/>
              </a:moveTo>
              <a:lnTo>
                <a:pt x="21600" y="0"/>
              </a:lnTo>
              <a:lnTo>
                <a:pt x="21600" y="21600"/>
              </a:lnTo>
              <a:lnTo>
                <a:pt x="0" y="21600"/>
              </a:lnTo>
              <a:lnTo>
                <a:pt x="0" y="0"/>
              </a:lnTo>
              <a:close/>
            </a:path>
          </a:pathLst>
        </a:custGeom>
        <a:solidFill>
          <a:srgbClr val="729fcf"/>
        </a:solidFill>
        <a:ln w="25560">
          <a:solidFill>
            <a:srgbClr val="3465a4"/>
          </a:solidFill>
          <a:round/>
        </a:ln>
      </xdr:spPr>
      <xdr:style>
        <a:lnRef idx="0"/>
        <a:fillRef idx="0"/>
        <a:effectRef idx="0"/>
        <a:fontRef idx="minor"/>
      </xdr:style>
      <xdr:txBody>
        <a:bodyPr wrap="none" lIns="0" rIns="0" tIns="0" bIns="0" anchor="ctr" anchorCtr="1">
          <a:noAutofit/>
        </a:bodyPr>
        <a:p>
          <a:pPr algn="ctr">
            <a:lnSpc>
              <a:spcPct val="100000"/>
            </a:lnSpc>
          </a:pPr>
          <a:r>
            <a:rPr b="0" lang="en-GB" sz="1200" spc="-1" strike="noStrike">
              <a:solidFill>
                <a:srgbClr val="000000"/>
              </a:solidFill>
              <a:latin typeface="Times New Roman"/>
              <a:ea typeface="DejaVu Sans"/>
            </a:rPr>
            <a:t>R2</a:t>
          </a:r>
          <a:endParaRPr b="0" lang="en-GB" sz="12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578160</xdr:colOff>
      <xdr:row>10</xdr:row>
      <xdr:rowOff>94680</xdr:rowOff>
    </xdr:from>
    <xdr:to>
      <xdr:col>12</xdr:col>
      <xdr:colOff>82440</xdr:colOff>
      <xdr:row>15</xdr:row>
      <xdr:rowOff>49680</xdr:rowOff>
    </xdr:to>
    <xdr:sp>
      <xdr:nvSpPr>
        <xdr:cNvPr id="6" name="Shape 3"/>
        <xdr:cNvSpPr/>
      </xdr:nvSpPr>
      <xdr:spPr>
        <a:xfrm>
          <a:off x="8545680" y="1720440"/>
          <a:ext cx="1942560" cy="76752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en-GB" sz="1200" spc="-1" strike="noStrike">
              <a:solidFill>
                <a:srgbClr val="000000"/>
              </a:solidFill>
              <a:latin typeface="Times New Roman"/>
              <a:ea typeface="DejaVu Sans"/>
            </a:rPr>
            <a:t>Gas Cooler</a:t>
          </a:r>
          <a:endParaRPr b="0" lang="en-GB" sz="12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10</xdr:col>
      <xdr:colOff>302760</xdr:colOff>
      <xdr:row>12</xdr:row>
      <xdr:rowOff>155880</xdr:rowOff>
    </xdr:from>
    <xdr:to>
      <xdr:col>12</xdr:col>
      <xdr:colOff>604800</xdr:colOff>
      <xdr:row>18</xdr:row>
      <xdr:rowOff>132480</xdr:rowOff>
    </xdr:to>
    <xdr:sp>
      <xdr:nvSpPr>
        <xdr:cNvPr id="7" name="Shape 4"/>
        <xdr:cNvSpPr/>
      </xdr:nvSpPr>
      <xdr:spPr>
        <a:xfrm>
          <a:off x="9339480" y="2106720"/>
          <a:ext cx="1927440" cy="95184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en-GB" sz="1200" spc="-1" strike="noStrike">
              <a:solidFill>
                <a:srgbClr val="000000"/>
              </a:solidFill>
              <a:latin typeface="Times New Roman"/>
              <a:ea typeface="DejaVu Sans"/>
            </a:rPr>
            <a:t>quencher</a:t>
          </a:r>
          <a:endParaRPr b="0" lang="en-GB" sz="1200" spc="-1" strike="noStrike">
            <a:latin typeface="Times New Roman"/>
          </a:endParaRPr>
        </a:p>
      </xdr:txBody>
    </xdr:sp>
    <xdr:clientData/>
  </xdr:twoCellAnchor>
  <xdr:twoCellAnchor editAs="absolute">
    <xdr:from>
      <xdr:col>11</xdr:col>
      <xdr:colOff>428040</xdr:colOff>
      <xdr:row>16</xdr:row>
      <xdr:rowOff>77040</xdr:rowOff>
    </xdr:from>
    <xdr:to>
      <xdr:col>11</xdr:col>
      <xdr:colOff>450000</xdr:colOff>
      <xdr:row>26</xdr:row>
      <xdr:rowOff>99000</xdr:rowOff>
    </xdr:to>
    <xdr:sp>
      <xdr:nvSpPr>
        <xdr:cNvPr id="8" name="Line 1"/>
        <xdr:cNvSpPr/>
      </xdr:nvSpPr>
      <xdr:spPr>
        <a:xfrm>
          <a:off x="10277640" y="2678040"/>
          <a:ext cx="21960" cy="1647360"/>
        </a:xfrm>
        <a:prstGeom prst="line">
          <a:avLst/>
        </a:prstGeom>
        <a:ln w="0">
          <a:solidFill>
            <a:srgbClr val="3465a4"/>
          </a:solidFill>
        </a:ln>
      </xdr:spPr>
      <xdr:style>
        <a:lnRef idx="0"/>
        <a:fillRef idx="0"/>
        <a:effectRef idx="0"/>
        <a:fontRef idx="minor"/>
      </xdr:style>
    </xdr:sp>
    <xdr:clientData/>
  </xdr:twoCellAnchor>
  <xdr:twoCellAnchor editAs="absolute">
    <xdr:from>
      <xdr:col>10</xdr:col>
      <xdr:colOff>302760</xdr:colOff>
      <xdr:row>12</xdr:row>
      <xdr:rowOff>155880</xdr:rowOff>
    </xdr:from>
    <xdr:to>
      <xdr:col>12</xdr:col>
      <xdr:colOff>604800</xdr:colOff>
      <xdr:row>18</xdr:row>
      <xdr:rowOff>132480</xdr:rowOff>
    </xdr:to>
    <xdr:sp>
      <xdr:nvSpPr>
        <xdr:cNvPr id="9" name="Shape 11"/>
        <xdr:cNvSpPr/>
      </xdr:nvSpPr>
      <xdr:spPr>
        <a:xfrm>
          <a:off x="9339480" y="2106720"/>
          <a:ext cx="1927440" cy="95184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en-GB" sz="1200" spc="-1" strike="noStrike">
              <a:solidFill>
                <a:srgbClr val="000000"/>
              </a:solidFill>
              <a:latin typeface="Times New Roman"/>
              <a:ea typeface="DejaVu Sans"/>
            </a:rPr>
            <a:t>quencher</a:t>
          </a:r>
          <a:endParaRPr b="0" lang="en-GB" sz="1200" spc="-1" strike="noStrike">
            <a:latin typeface="Times New Roman"/>
          </a:endParaRPr>
        </a:p>
      </xdr:txBody>
    </xdr:sp>
    <xdr:clientData/>
  </xdr:twoCellAnchor>
  <xdr:twoCellAnchor editAs="absolute">
    <xdr:from>
      <xdr:col>11</xdr:col>
      <xdr:colOff>435240</xdr:colOff>
      <xdr:row>19</xdr:row>
      <xdr:rowOff>9720</xdr:rowOff>
    </xdr:from>
    <xdr:to>
      <xdr:col>11</xdr:col>
      <xdr:colOff>450000</xdr:colOff>
      <xdr:row>26</xdr:row>
      <xdr:rowOff>98640</xdr:rowOff>
    </xdr:to>
    <xdr:sp>
      <xdr:nvSpPr>
        <xdr:cNvPr id="10" name="Line 3"/>
        <xdr:cNvSpPr/>
      </xdr:nvSpPr>
      <xdr:spPr>
        <a:xfrm>
          <a:off x="10284840" y="3098520"/>
          <a:ext cx="14760" cy="1226520"/>
        </a:xfrm>
        <a:prstGeom prst="line">
          <a:avLst/>
        </a:prstGeom>
        <a:ln w="0">
          <a:solidFill>
            <a:srgbClr val="3465a4"/>
          </a:solidFill>
        </a:ln>
      </xdr:spPr>
      <xdr:style>
        <a:lnRef idx="0"/>
        <a:fillRef idx="0"/>
        <a:effectRef idx="0"/>
        <a:fontRef idx="minor"/>
      </xdr:style>
    </xdr:sp>
    <xdr:clientData/>
  </xdr:twoCellAnchor>
  <xdr:twoCellAnchor editAs="absolute">
    <xdr:from>
      <xdr:col>10</xdr:col>
      <xdr:colOff>633240</xdr:colOff>
      <xdr:row>1</xdr:row>
      <xdr:rowOff>38160</xdr:rowOff>
    </xdr:from>
    <xdr:to>
      <xdr:col>10</xdr:col>
      <xdr:colOff>643320</xdr:colOff>
      <xdr:row>13</xdr:row>
      <xdr:rowOff>28800</xdr:rowOff>
    </xdr:to>
    <xdr:sp>
      <xdr:nvSpPr>
        <xdr:cNvPr id="11" name="Line 4"/>
        <xdr:cNvSpPr/>
      </xdr:nvSpPr>
      <xdr:spPr>
        <a:xfrm>
          <a:off x="9669960" y="200880"/>
          <a:ext cx="10080" cy="1941120"/>
        </a:xfrm>
        <a:prstGeom prst="line">
          <a:avLst/>
        </a:prstGeom>
        <a:ln w="72000">
          <a:solidFill>
            <a:srgbClr val="3465a4"/>
          </a:solidFill>
          <a:round/>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9</xdr:col>
      <xdr:colOff>158400</xdr:colOff>
      <xdr:row>6</xdr:row>
      <xdr:rowOff>76680</xdr:rowOff>
    </xdr:from>
    <xdr:to>
      <xdr:col>12</xdr:col>
      <xdr:colOff>145800</xdr:colOff>
      <xdr:row>11</xdr:row>
      <xdr:rowOff>73080</xdr:rowOff>
    </xdr:to>
    <xdr:sp>
      <xdr:nvSpPr>
        <xdr:cNvPr id="12" name="Shape 6"/>
        <xdr:cNvSpPr/>
      </xdr:nvSpPr>
      <xdr:spPr>
        <a:xfrm>
          <a:off x="7473600" y="1051920"/>
          <a:ext cx="2425680" cy="80928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en-GB" sz="1200" spc="-1" strike="noStrike">
              <a:solidFill>
                <a:srgbClr val="000000"/>
              </a:solidFill>
              <a:latin typeface="Times New Roman"/>
              <a:ea typeface="DejaVu Sans"/>
            </a:rPr>
            <a:t>Crystallizer</a:t>
          </a:r>
          <a:endParaRPr b="0" lang="en-GB" sz="1200" spc="-1" strike="noStrike">
            <a:latin typeface="Times New Roman"/>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640440</xdr:colOff>
      <xdr:row>2</xdr:row>
      <xdr:rowOff>33840</xdr:rowOff>
    </xdr:from>
    <xdr:to>
      <xdr:col>10</xdr:col>
      <xdr:colOff>607320</xdr:colOff>
      <xdr:row>6</xdr:row>
      <xdr:rowOff>95400</xdr:rowOff>
    </xdr:to>
    <xdr:sp>
      <xdr:nvSpPr>
        <xdr:cNvPr id="13" name="Shape 8"/>
        <xdr:cNvSpPr/>
      </xdr:nvSpPr>
      <xdr:spPr>
        <a:xfrm>
          <a:off x="7282080" y="358920"/>
          <a:ext cx="1592280" cy="71172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en-GB" sz="1200" spc="-1" strike="noStrike">
              <a:solidFill>
                <a:srgbClr val="000000"/>
              </a:solidFill>
              <a:latin typeface="Times New Roman"/>
              <a:ea typeface="DejaVu Sans"/>
            </a:rPr>
            <a:t>R3</a:t>
          </a:r>
          <a:endParaRPr b="0" lang="en-GB" sz="1200" spc="-1" strike="noStrike">
            <a:latin typeface="Times New Roman"/>
          </a:endParaRPr>
        </a:p>
      </xdr:txBody>
    </xdr:sp>
    <xdr:clientData/>
  </xdr:twoCellAnchor>
  <xdr:twoCellAnchor editAs="oneCell">
    <xdr:from>
      <xdr:col>15</xdr:col>
      <xdr:colOff>0</xdr:colOff>
      <xdr:row>18</xdr:row>
      <xdr:rowOff>0</xdr:rowOff>
    </xdr:from>
    <xdr:to>
      <xdr:col>21</xdr:col>
      <xdr:colOff>234360</xdr:colOff>
      <xdr:row>19</xdr:row>
      <xdr:rowOff>48240</xdr:rowOff>
    </xdr:to>
    <xdr:pic>
      <xdr:nvPicPr>
        <xdr:cNvPr id="14" name="Image 2" descr=""/>
        <xdr:cNvPicPr/>
      </xdr:nvPicPr>
      <xdr:blipFill>
        <a:blip r:embed="rId1"/>
        <a:stretch/>
      </xdr:blipFill>
      <xdr:spPr>
        <a:xfrm>
          <a:off x="12331080" y="2926080"/>
          <a:ext cx="5111280" cy="351000"/>
        </a:xfrm>
        <a:prstGeom prst="rect">
          <a:avLst/>
        </a:prstGeom>
        <a:ln w="0">
          <a:noFill/>
        </a:ln>
      </xdr:spPr>
    </xdr:pic>
    <xdr:clientData/>
  </xdr:twoCellAnchor>
  <xdr:twoCellAnchor editAs="oneCell">
    <xdr:from>
      <xdr:col>15</xdr:col>
      <xdr:colOff>360</xdr:colOff>
      <xdr:row>11</xdr:row>
      <xdr:rowOff>156960</xdr:rowOff>
    </xdr:from>
    <xdr:to>
      <xdr:col>21</xdr:col>
      <xdr:colOff>185400</xdr:colOff>
      <xdr:row>17</xdr:row>
      <xdr:rowOff>21240</xdr:rowOff>
    </xdr:to>
    <xdr:pic>
      <xdr:nvPicPr>
        <xdr:cNvPr id="15" name="Image 3" descr=""/>
        <xdr:cNvPicPr/>
      </xdr:nvPicPr>
      <xdr:blipFill>
        <a:blip r:embed="rId2"/>
        <a:stretch/>
      </xdr:blipFill>
      <xdr:spPr>
        <a:xfrm>
          <a:off x="12331440" y="1945080"/>
          <a:ext cx="5061960" cy="839520"/>
        </a:xfrm>
        <a:prstGeom prst="rect">
          <a:avLst/>
        </a:prstGeom>
        <a:ln w="0">
          <a:noFill/>
        </a:ln>
      </xdr:spPr>
    </xdr:pic>
    <xdr:clientData/>
  </xdr:twoCellAnchor>
  <xdr:twoCellAnchor editAs="oneCell">
    <xdr:from>
      <xdr:col>3</xdr:col>
      <xdr:colOff>0</xdr:colOff>
      <xdr:row>30</xdr:row>
      <xdr:rowOff>0</xdr:rowOff>
    </xdr:from>
    <xdr:to>
      <xdr:col>13</xdr:col>
      <xdr:colOff>234720</xdr:colOff>
      <xdr:row>35</xdr:row>
      <xdr:rowOff>35280</xdr:rowOff>
    </xdr:to>
    <xdr:pic>
      <xdr:nvPicPr>
        <xdr:cNvPr id="16" name="Image 4" descr=""/>
        <xdr:cNvPicPr/>
      </xdr:nvPicPr>
      <xdr:blipFill>
        <a:blip r:embed="rId3"/>
        <a:srcRect l="0" t="0" r="0" b="78474"/>
        <a:stretch/>
      </xdr:blipFill>
      <xdr:spPr>
        <a:xfrm>
          <a:off x="2577600" y="5016960"/>
          <a:ext cx="8362440" cy="848160"/>
        </a:xfrm>
        <a:prstGeom prst="rect">
          <a:avLst/>
        </a:prstGeom>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omepaper%20references/mass%20balance.od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5"/>
      <sheetName val="oxidation reactor 1"/>
      <sheetName val="oxidation 2"/>
      <sheetName val="estefication"/>
    </sheetNames>
    <sheetDataSet>
      <sheetData sheetId="0">
        <row r="14">
          <cell r="G14">
            <v>-75.06</v>
          </cell>
        </row>
      </sheetData>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31"/>
  <sheetViews>
    <sheetView showFormulas="false" showGridLines="true" showRowColHeaders="true" showZeros="true" rightToLeft="false" tabSelected="false" showOutlineSymbols="true" defaultGridColor="true" view="normal" topLeftCell="A1" colorId="64" zoomScale="103" zoomScaleNormal="103" zoomScalePageLayoutView="100" workbookViewId="0">
      <selection pane="topLeft" activeCell="B2" activeCellId="1" sqref="B17:E31 B2"/>
    </sheetView>
  </sheetViews>
  <sheetFormatPr defaultColWidth="11.53515625" defaultRowHeight="12.8" zeroHeight="false" outlineLevelRow="0" outlineLevelCol="0"/>
  <cols>
    <col collapsed="false" customWidth="true" hidden="false" outlineLevel="0" max="2" min="2" style="1" width="12.3"/>
  </cols>
  <sheetData>
    <row r="1" customFormat="false" ht="12.8" hidden="false" customHeight="false" outlineLevel="0" collapsed="false">
      <c r="A1" s="1" t="s">
        <v>0</v>
      </c>
      <c r="B1" s="1" t="s">
        <v>1</v>
      </c>
    </row>
    <row r="4" customFormat="false" ht="12.8" hidden="false" customHeight="false" outlineLevel="0" collapsed="false">
      <c r="A4" s="1" t="s">
        <v>2</v>
      </c>
      <c r="B4" s="1" t="s">
        <v>3</v>
      </c>
    </row>
    <row r="7" customFormat="false" ht="12.8" hidden="false" customHeight="false" outlineLevel="0" collapsed="false">
      <c r="A7" s="1" t="s">
        <v>4</v>
      </c>
      <c r="B7" s="1" t="s">
        <v>5</v>
      </c>
    </row>
    <row r="10" customFormat="false" ht="12.8" hidden="false" customHeight="false" outlineLevel="0" collapsed="false">
      <c r="A10" s="1" t="s">
        <v>6</v>
      </c>
      <c r="B10" s="1" t="s">
        <v>7</v>
      </c>
    </row>
    <row r="13" customFormat="false" ht="12.8" hidden="false" customHeight="false" outlineLevel="0" collapsed="false">
      <c r="B13" s="1" t="s">
        <v>8</v>
      </c>
    </row>
    <row r="14" customFormat="false" ht="12.8" hidden="false" customHeight="false" outlineLevel="0" collapsed="false">
      <c r="B14" s="1" t="s">
        <v>9</v>
      </c>
      <c r="C14" s="1" t="s">
        <v>10</v>
      </c>
      <c r="D14" s="1" t="s">
        <v>11</v>
      </c>
      <c r="E14" s="1" t="s">
        <v>12</v>
      </c>
      <c r="F14" s="1" t="s">
        <v>13</v>
      </c>
    </row>
    <row r="15" customFormat="false" ht="12.8" hidden="false" customHeight="false" outlineLevel="0" collapsed="false">
      <c r="A15" s="1" t="s">
        <v>14</v>
      </c>
      <c r="B15" s="1" t="s">
        <v>5</v>
      </c>
      <c r="C15" s="2" t="n">
        <f aca="false">D15/$D$19*100</f>
        <v>8.62745098039216</v>
      </c>
      <c r="D15" s="2" t="n">
        <v>41.75</v>
      </c>
      <c r="E15" s="1" t="n">
        <v>56</v>
      </c>
      <c r="F15" s="2" t="n">
        <f aca="false">D15*E15</f>
        <v>2338</v>
      </c>
    </row>
    <row r="16" customFormat="false" ht="12.8" hidden="false" customHeight="false" outlineLevel="0" collapsed="false">
      <c r="B16" s="1" t="s">
        <v>15</v>
      </c>
      <c r="C16" s="2" t="n">
        <f aca="false">D16/$D$19*100</f>
        <v>17.2549019607843</v>
      </c>
      <c r="D16" s="2" t="n">
        <f aca="false">D15*2</f>
        <v>83.5</v>
      </c>
      <c r="E16" s="1" t="n">
        <v>32</v>
      </c>
      <c r="F16" s="2" t="n">
        <f aca="false">D16*E16</f>
        <v>2672</v>
      </c>
    </row>
    <row r="17" customFormat="false" ht="12.8" hidden="false" customHeight="false" outlineLevel="0" collapsed="false">
      <c r="B17" s="1" t="s">
        <v>16</v>
      </c>
      <c r="C17" s="2" t="n">
        <f aca="false">D17/$D$19*100</f>
        <v>61.1764705882353</v>
      </c>
      <c r="D17" s="2" t="n">
        <f aca="false">D16*0.78/0.22</f>
        <v>296.045454545455</v>
      </c>
      <c r="E17" s="1" t="n">
        <v>28</v>
      </c>
      <c r="F17" s="2" t="n">
        <f aca="false">D17*E17</f>
        <v>8289.27272727273</v>
      </c>
    </row>
    <row r="18" customFormat="false" ht="12.8" hidden="false" customHeight="false" outlineLevel="0" collapsed="false">
      <c r="B18" s="1" t="s">
        <v>7</v>
      </c>
      <c r="C18" s="2" t="n">
        <f aca="false">D18/$D$19*100</f>
        <v>12.9411764705882</v>
      </c>
      <c r="D18" s="2" t="n">
        <f aca="false">D15*1.5</f>
        <v>62.625</v>
      </c>
      <c r="E18" s="1" t="n">
        <v>18</v>
      </c>
      <c r="F18" s="2" t="n">
        <f aca="false">D18*E18</f>
        <v>1127.25</v>
      </c>
    </row>
    <row r="19" customFormat="false" ht="12.8" hidden="false" customHeight="false" outlineLevel="0" collapsed="false">
      <c r="B19" s="1" t="s">
        <v>17</v>
      </c>
      <c r="C19" s="1"/>
      <c r="D19" s="2" t="n">
        <f aca="false">SUM(D15:D18)</f>
        <v>483.920454545455</v>
      </c>
      <c r="F19" s="2" t="n">
        <f aca="false">SUM(F15:F18)</f>
        <v>14426.5227272727</v>
      </c>
      <c r="J19" s="1" t="n">
        <f aca="false">3.98*0.796</f>
        <v>3.16808</v>
      </c>
    </row>
    <row r="20" customFormat="false" ht="12.8" hidden="false" customHeight="false" outlineLevel="0" collapsed="false">
      <c r="B20" s="1" t="s">
        <v>18</v>
      </c>
      <c r="C20" s="1" t="n">
        <v>0.996</v>
      </c>
      <c r="D20" s="1"/>
      <c r="E20" s="1" t="n">
        <f aca="false">0.796</f>
        <v>0.796</v>
      </c>
      <c r="H20" s="3"/>
      <c r="I20" s="4"/>
      <c r="J20" s="4"/>
      <c r="K20" s="4"/>
      <c r="L20" s="4"/>
    </row>
    <row r="21" customFormat="false" ht="12.8" hidden="false" customHeight="false" outlineLevel="0" collapsed="false">
      <c r="C21" s="1" t="s">
        <v>10</v>
      </c>
      <c r="D21" s="1" t="s">
        <v>11</v>
      </c>
      <c r="E21" s="1" t="s">
        <v>12</v>
      </c>
      <c r="F21" s="1" t="s">
        <v>13</v>
      </c>
      <c r="H21" s="5" t="s">
        <v>19</v>
      </c>
      <c r="I21" s="1"/>
      <c r="J21" s="1"/>
      <c r="K21" s="1"/>
      <c r="L21" s="1"/>
      <c r="M21" s="1"/>
      <c r="N21" s="1"/>
      <c r="O21" s="1"/>
      <c r="P21" s="1"/>
      <c r="Q21" s="1"/>
      <c r="R21" s="1"/>
      <c r="S21" s="1"/>
      <c r="T21" s="1"/>
      <c r="U21" s="1"/>
      <c r="V21" s="1"/>
      <c r="W21" s="1"/>
    </row>
    <row r="22" customFormat="false" ht="12.8" hidden="false" customHeight="false" outlineLevel="0" collapsed="false">
      <c r="A22" s="1" t="s">
        <v>20</v>
      </c>
      <c r="B22" s="1" t="s">
        <v>5</v>
      </c>
      <c r="C22" s="1" t="n">
        <f aca="false">250*10^-6*10^2</f>
        <v>0.025</v>
      </c>
      <c r="D22" s="1" t="n">
        <f aca="false">D15*(1-C20)</f>
        <v>0.167</v>
      </c>
      <c r="E22" s="1" t="n">
        <v>56</v>
      </c>
      <c r="F22" s="6" t="n">
        <f aca="false">D22*E22</f>
        <v>9.35200000000001</v>
      </c>
      <c r="H22" s="2" t="n">
        <f aca="false">D36-SUM(D22:D33)</f>
        <v>327.667885037879</v>
      </c>
      <c r="I22" s="1"/>
      <c r="J22" s="1"/>
      <c r="K22" s="1"/>
      <c r="L22" s="1"/>
      <c r="M22" s="1"/>
      <c r="N22" s="1"/>
      <c r="O22" s="1"/>
      <c r="P22" s="1"/>
      <c r="Q22" s="1"/>
      <c r="R22" s="1"/>
      <c r="S22" s="1"/>
      <c r="T22" s="1"/>
      <c r="U22" s="1"/>
      <c r="V22" s="1"/>
      <c r="W22" s="1"/>
    </row>
    <row r="23" customFormat="false" ht="12.8" hidden="false" customHeight="false" outlineLevel="0" collapsed="false">
      <c r="A23" s="1" t="s">
        <v>21</v>
      </c>
      <c r="B23" s="1" t="s">
        <v>22</v>
      </c>
      <c r="C23" s="1" t="n">
        <v>4.8</v>
      </c>
      <c r="D23" s="1" t="n">
        <f aca="false">D15*E20</f>
        <v>33.233</v>
      </c>
      <c r="E23" s="1" t="n">
        <v>70</v>
      </c>
      <c r="F23" s="7" t="n">
        <f aca="false">D23*E23</f>
        <v>2326.31</v>
      </c>
      <c r="H23" s="1"/>
      <c r="I23" s="1"/>
      <c r="J23" s="1"/>
      <c r="K23" s="1"/>
      <c r="L23" s="1"/>
      <c r="M23" s="1"/>
      <c r="N23" s="1"/>
      <c r="O23" s="1"/>
      <c r="P23" s="1"/>
      <c r="Q23" s="1"/>
      <c r="R23" s="1"/>
      <c r="S23" s="1"/>
      <c r="T23" s="1"/>
      <c r="U23" s="1"/>
      <c r="V23" s="1"/>
      <c r="W23" s="1"/>
    </row>
    <row r="24" customFormat="false" ht="12.8" hidden="false" customHeight="false" outlineLevel="0" collapsed="false">
      <c r="B24" s="1" t="s">
        <v>23</v>
      </c>
      <c r="C24" s="1" t="n">
        <v>0.74</v>
      </c>
      <c r="D24" s="2" t="n">
        <f aca="false">$D$36*C24%</f>
        <v>5.12342083333333</v>
      </c>
      <c r="E24" s="1" t="n">
        <v>28</v>
      </c>
      <c r="F24" s="7" t="n">
        <f aca="false">D24*E24</f>
        <v>143.455783333333</v>
      </c>
      <c r="H24" s="1" t="s">
        <v>24</v>
      </c>
      <c r="I24" s="1"/>
      <c r="J24" s="1"/>
      <c r="K24" s="1"/>
      <c r="L24" s="1"/>
      <c r="M24" s="1"/>
      <c r="N24" s="1"/>
      <c r="O24" s="1"/>
      <c r="P24" s="1"/>
      <c r="Q24" s="1"/>
      <c r="R24" s="1"/>
      <c r="S24" s="1"/>
      <c r="T24" s="1"/>
      <c r="U24" s="1"/>
      <c r="V24" s="1"/>
      <c r="W24" s="1"/>
    </row>
    <row r="25" customFormat="false" ht="12.8" hidden="false" customHeight="false" outlineLevel="0" collapsed="false">
      <c r="B25" s="1" t="s">
        <v>25</v>
      </c>
      <c r="C25" s="1" t="n">
        <v>0.21</v>
      </c>
      <c r="D25" s="2" t="n">
        <f aca="false">$D$36*C25%</f>
        <v>1.45394375</v>
      </c>
      <c r="E25" s="1" t="n">
        <v>86</v>
      </c>
      <c r="F25" s="7" t="n">
        <f aca="false">D25*E25</f>
        <v>125.0391625</v>
      </c>
      <c r="H25" s="2" t="n">
        <f aca="false">F36-SUM(F22:F33)</f>
        <v>2521.56361666667</v>
      </c>
      <c r="I25" s="1"/>
      <c r="J25" s="1"/>
      <c r="K25" s="1"/>
      <c r="L25" s="1"/>
      <c r="M25" s="1"/>
      <c r="N25" s="1"/>
      <c r="O25" s="1"/>
      <c r="P25" s="1"/>
      <c r="Q25" s="1"/>
      <c r="R25" s="1"/>
      <c r="S25" s="1"/>
      <c r="T25" s="1"/>
      <c r="U25" s="1"/>
      <c r="V25" s="1"/>
      <c r="W25" s="1"/>
    </row>
    <row r="26" customFormat="false" ht="12.8" hidden="false" customHeight="false" outlineLevel="0" collapsed="false">
      <c r="B26" s="1" t="s">
        <v>26</v>
      </c>
      <c r="C26" s="1" t="n">
        <v>0.21</v>
      </c>
      <c r="D26" s="2" t="n">
        <f aca="false">$D$36*C26%</f>
        <v>1.45394375</v>
      </c>
      <c r="E26" s="1" t="n">
        <v>60</v>
      </c>
      <c r="F26" s="7" t="n">
        <f aca="false">D26*E26</f>
        <v>87.236625</v>
      </c>
      <c r="H26" s="1"/>
      <c r="I26" s="1"/>
      <c r="J26" s="1"/>
      <c r="K26" s="1"/>
      <c r="L26" s="1"/>
      <c r="M26" s="1"/>
      <c r="N26" s="1"/>
      <c r="O26" s="1"/>
      <c r="P26" s="1"/>
      <c r="Q26" s="1"/>
      <c r="R26" s="1"/>
      <c r="S26" s="1"/>
      <c r="T26" s="1"/>
      <c r="U26" s="1"/>
      <c r="V26" s="1"/>
      <c r="W26" s="1"/>
    </row>
    <row r="27" customFormat="false" ht="12.8" hidden="false" customHeight="false" outlineLevel="0" collapsed="false">
      <c r="B27" s="1" t="s">
        <v>27</v>
      </c>
      <c r="C27" s="1" t="n">
        <v>0.12</v>
      </c>
      <c r="D27" s="2" t="n">
        <f aca="false">$D$36*C27%</f>
        <v>0.830825</v>
      </c>
      <c r="E27" s="1" t="n">
        <v>58</v>
      </c>
      <c r="F27" s="7" t="n">
        <f aca="false">D27*E27</f>
        <v>48.18785</v>
      </c>
      <c r="H27" s="1" t="n">
        <v>1</v>
      </c>
      <c r="I27" s="1" t="n">
        <v>1</v>
      </c>
      <c r="J27" s="2" t="n">
        <f aca="false">H22</f>
        <v>327.667885037879</v>
      </c>
      <c r="K27" s="1"/>
      <c r="L27" s="1"/>
      <c r="M27" s="1"/>
      <c r="N27" s="1"/>
      <c r="O27" s="1"/>
      <c r="P27" s="1"/>
      <c r="Q27" s="1"/>
      <c r="R27" s="1"/>
      <c r="S27" s="1"/>
      <c r="T27" s="1"/>
      <c r="U27" s="1"/>
      <c r="V27" s="1"/>
      <c r="W27" s="1"/>
    </row>
    <row r="28" customFormat="false" ht="12.8" hidden="false" customHeight="false" outlineLevel="0" collapsed="false">
      <c r="B28" s="1" t="s">
        <v>28</v>
      </c>
      <c r="C28" s="1" t="n">
        <v>0.21</v>
      </c>
      <c r="D28" s="2" t="n">
        <f aca="false">$D$36*C28%</f>
        <v>1.45394375</v>
      </c>
      <c r="E28" s="1" t="n">
        <v>44</v>
      </c>
      <c r="F28" s="7" t="n">
        <f aca="false">D28*E28</f>
        <v>63.973525</v>
      </c>
      <c r="H28" s="1" t="n">
        <v>44</v>
      </c>
      <c r="I28" s="1" t="n">
        <v>18</v>
      </c>
      <c r="J28" s="2" t="n">
        <f aca="false">H25</f>
        <v>2521.56361666667</v>
      </c>
      <c r="K28" s="1"/>
      <c r="L28" s="1"/>
      <c r="M28" s="1"/>
      <c r="N28" s="1"/>
      <c r="O28" s="1"/>
      <c r="P28" s="1"/>
      <c r="Q28" s="1"/>
      <c r="R28" s="1"/>
      <c r="S28" s="1"/>
      <c r="T28" s="1"/>
      <c r="U28" s="1"/>
      <c r="V28" s="1"/>
      <c r="W28" s="1"/>
    </row>
    <row r="29" customFormat="false" ht="12.8" hidden="false" customHeight="false" outlineLevel="0" collapsed="false">
      <c r="B29" s="1" t="s">
        <v>29</v>
      </c>
      <c r="C29" s="1" t="n">
        <v>0.04</v>
      </c>
      <c r="D29" s="2" t="n">
        <f aca="false">$D$36*C29%</f>
        <v>0.276941666666667</v>
      </c>
      <c r="E29" s="1" t="n">
        <v>56</v>
      </c>
      <c r="F29" s="7" t="n">
        <f aca="false">D29*E29</f>
        <v>15.5087333333333</v>
      </c>
      <c r="H29" s="1"/>
      <c r="I29" s="1"/>
      <c r="J29" s="1"/>
      <c r="K29" s="1"/>
      <c r="L29" s="1"/>
      <c r="M29" s="1"/>
      <c r="N29" s="1"/>
      <c r="O29" s="1"/>
      <c r="P29" s="1"/>
      <c r="Q29" s="1"/>
      <c r="R29" s="1"/>
      <c r="S29" s="1"/>
      <c r="T29" s="1"/>
      <c r="U29" s="1"/>
      <c r="V29" s="1"/>
      <c r="W29" s="1"/>
    </row>
    <row r="30" customFormat="false" ht="12.8" hidden="false" customHeight="false" outlineLevel="0" collapsed="false">
      <c r="B30" s="1" t="s">
        <v>30</v>
      </c>
      <c r="C30" s="1" t="n">
        <v>0.03</v>
      </c>
      <c r="D30" s="2" t="n">
        <f aca="false">$D$36*C30%</f>
        <v>0.20770625</v>
      </c>
      <c r="E30" s="1" t="n">
        <v>30</v>
      </c>
      <c r="F30" s="7" t="n">
        <f aca="false">D30*E30</f>
        <v>6.2311875</v>
      </c>
      <c r="H30" s="2" t="n">
        <f aca="false" t="array" ref="H30:H31">MMULT(MINVERSE(H27:I28),J27:J28)</f>
        <v>-129.863781308275</v>
      </c>
      <c r="I30" s="1"/>
      <c r="J30" s="1"/>
      <c r="K30" s="1"/>
      <c r="L30" s="1"/>
      <c r="M30" s="1"/>
      <c r="N30" s="1"/>
      <c r="O30" s="1"/>
      <c r="P30" s="1"/>
      <c r="Q30" s="1"/>
      <c r="R30" s="1"/>
      <c r="S30" s="1"/>
      <c r="T30" s="1"/>
      <c r="U30" s="1"/>
      <c r="V30" s="1"/>
      <c r="W30" s="1"/>
    </row>
    <row r="31" customFormat="false" ht="12.8" hidden="false" customHeight="false" outlineLevel="0" collapsed="false">
      <c r="B31" s="1" t="s">
        <v>31</v>
      </c>
      <c r="C31" s="1" t="n">
        <v>0.03</v>
      </c>
      <c r="D31" s="2" t="n">
        <f aca="false">$D$36*C31%</f>
        <v>0.20770625</v>
      </c>
      <c r="E31" s="1" t="n">
        <v>72</v>
      </c>
      <c r="F31" s="7" t="n">
        <f aca="false">D31*E31</f>
        <v>14.95485</v>
      </c>
      <c r="H31" s="2" t="n">
        <v>457.531666346154</v>
      </c>
      <c r="I31" s="1"/>
      <c r="J31" s="1"/>
      <c r="K31" s="1"/>
      <c r="L31" s="1"/>
      <c r="M31" s="1"/>
      <c r="N31" s="1"/>
      <c r="O31" s="1"/>
      <c r="P31" s="1"/>
      <c r="Q31" s="1"/>
      <c r="R31" s="1"/>
      <c r="S31" s="1"/>
      <c r="T31" s="1"/>
      <c r="U31" s="1"/>
      <c r="V31" s="1"/>
      <c r="W31" s="1"/>
    </row>
    <row r="32" customFormat="false" ht="12.8" hidden="false" customHeight="false" outlineLevel="0" collapsed="false">
      <c r="B32" s="1" t="s">
        <v>32</v>
      </c>
      <c r="C32" s="1" t="n">
        <v>3.5</v>
      </c>
      <c r="D32" s="2" t="n">
        <f aca="false">$D$36*C32%</f>
        <v>24.2323958333333</v>
      </c>
      <c r="E32" s="1" t="n">
        <v>32</v>
      </c>
      <c r="F32" s="7" t="n">
        <f aca="false">D32*E32</f>
        <v>775.436666666667</v>
      </c>
      <c r="H32" s="1"/>
      <c r="I32" s="1"/>
      <c r="J32" s="1"/>
      <c r="K32" s="1"/>
      <c r="L32" s="1"/>
      <c r="M32" s="1"/>
      <c r="N32" s="1"/>
      <c r="O32" s="1"/>
      <c r="P32" s="1"/>
      <c r="Q32" s="1"/>
      <c r="R32" s="1"/>
      <c r="S32" s="1"/>
      <c r="T32" s="1"/>
      <c r="U32" s="1"/>
      <c r="V32" s="1"/>
      <c r="W32" s="1"/>
    </row>
    <row r="33" customFormat="false" ht="12.8" hidden="false" customHeight="false" outlineLevel="0" collapsed="false">
      <c r="B33" s="1" t="s">
        <v>33</v>
      </c>
      <c r="C33" s="2" t="n">
        <f aca="false">D33/$D$36*100</f>
        <v>42.7592507994518</v>
      </c>
      <c r="D33" s="2" t="n">
        <f aca="false">D17</f>
        <v>296.045454545455</v>
      </c>
      <c r="E33" s="1" t="n">
        <v>28</v>
      </c>
      <c r="F33" s="7" t="n">
        <f aca="false">D33*E33</f>
        <v>8289.27272727273</v>
      </c>
      <c r="H33" s="1"/>
      <c r="I33" s="1"/>
      <c r="J33" s="1"/>
      <c r="K33" s="1"/>
      <c r="L33" s="1"/>
      <c r="M33" s="1"/>
      <c r="N33" s="1"/>
      <c r="O33" s="1"/>
      <c r="P33" s="1"/>
      <c r="Q33" s="1"/>
      <c r="R33" s="1"/>
      <c r="S33" s="1"/>
      <c r="T33" s="1"/>
      <c r="U33" s="1"/>
      <c r="V33" s="1"/>
      <c r="W33" s="1"/>
    </row>
    <row r="34" customFormat="false" ht="12.8" hidden="false" customHeight="false" outlineLevel="0" collapsed="false">
      <c r="B34" s="1" t="s">
        <v>34</v>
      </c>
      <c r="C34" s="2" t="n">
        <f aca="false">D34/$D$36*100</f>
        <v>-18.7568426046315</v>
      </c>
      <c r="D34" s="2" t="n">
        <f aca="false">H30</f>
        <v>-129.863781308275</v>
      </c>
      <c r="E34" s="1" t="n">
        <v>44</v>
      </c>
      <c r="F34" s="7" t="n">
        <f aca="false">D34*E34</f>
        <v>-5714.0063775641</v>
      </c>
    </row>
    <row r="35" customFormat="false" ht="12.8" hidden="false" customHeight="false" outlineLevel="0" collapsed="false">
      <c r="B35" s="1" t="s">
        <v>7</v>
      </c>
      <c r="C35" s="2" t="n">
        <f aca="false">D35/$D$36*100</f>
        <v>66.0834712021647</v>
      </c>
      <c r="D35" s="2" t="n">
        <f aca="false">H31</f>
        <v>457.531666346154</v>
      </c>
      <c r="E35" s="1" t="n">
        <v>18</v>
      </c>
      <c r="F35" s="7" t="n">
        <f aca="false">D35*E35</f>
        <v>8235.56999423078</v>
      </c>
    </row>
    <row r="36" customFormat="false" ht="12.8" hidden="false" customHeight="false" outlineLevel="0" collapsed="false">
      <c r="B36" s="1" t="s">
        <v>35</v>
      </c>
      <c r="C36" s="2" t="n">
        <f aca="false">SUM(C22:C35)</f>
        <v>100.000879396985</v>
      </c>
      <c r="D36" s="8" t="n">
        <f aca="false">D23/C23%</f>
        <v>692.354166666667</v>
      </c>
      <c r="F36" s="2" t="n">
        <f aca="false">F19</f>
        <v>14426.5227272727</v>
      </c>
    </row>
    <row r="37" customFormat="false" ht="12.8" hidden="false" customHeight="false" outlineLevel="0" collapsed="false">
      <c r="D37" s="2"/>
      <c r="F37" s="1" t="n">
        <f aca="false">SUM(F22:F35)</f>
        <v>14426.5227272727</v>
      </c>
    </row>
    <row r="38" customFormat="false" ht="12.8" hidden="false" customHeight="true" outlineLevel="0" collapsed="false">
      <c r="A38" s="1" t="s">
        <v>36</v>
      </c>
      <c r="B38" s="1" t="s">
        <v>37</v>
      </c>
      <c r="H38" s="9" t="s">
        <v>38</v>
      </c>
      <c r="I38" s="9"/>
      <c r="J38" s="9"/>
      <c r="K38" s="9"/>
      <c r="L38" s="9"/>
      <c r="M38" s="9"/>
    </row>
    <row r="39" customFormat="false" ht="12.8" hidden="false" customHeight="false" outlineLevel="0" collapsed="false">
      <c r="H39" s="9"/>
      <c r="I39" s="9"/>
      <c r="J39" s="9"/>
      <c r="K39" s="9"/>
      <c r="L39" s="9"/>
      <c r="M39" s="9"/>
    </row>
    <row r="40" customFormat="false" ht="12.8" hidden="false" customHeight="false" outlineLevel="0" collapsed="false">
      <c r="A40" s="10" t="s">
        <v>39</v>
      </c>
      <c r="B40" s="10"/>
      <c r="C40" s="10" t="s">
        <v>10</v>
      </c>
      <c r="D40" s="10" t="s">
        <v>11</v>
      </c>
      <c r="E40" s="10" t="s">
        <v>12</v>
      </c>
      <c r="F40" s="10" t="s">
        <v>13</v>
      </c>
      <c r="H40" s="9"/>
      <c r="I40" s="9"/>
      <c r="J40" s="9"/>
      <c r="K40" s="9"/>
      <c r="L40" s="9"/>
      <c r="M40" s="9"/>
    </row>
    <row r="41" customFormat="false" ht="12.8" hidden="false" customHeight="false" outlineLevel="0" collapsed="false">
      <c r="A41" s="10" t="s">
        <v>40</v>
      </c>
      <c r="B41" s="10" t="s">
        <v>22</v>
      </c>
      <c r="C41" s="10" t="n">
        <v>1.2</v>
      </c>
      <c r="D41" s="10"/>
      <c r="E41" s="10"/>
      <c r="F41" s="10"/>
      <c r="H41" s="9"/>
      <c r="I41" s="9"/>
      <c r="J41" s="9"/>
      <c r="K41" s="9"/>
      <c r="L41" s="9"/>
      <c r="M41" s="9"/>
    </row>
    <row r="42" customFormat="false" ht="12.8" hidden="false" customHeight="false" outlineLevel="0" collapsed="false">
      <c r="A42" s="10"/>
      <c r="B42" s="10" t="s">
        <v>25</v>
      </c>
      <c r="C42" s="10" t="n">
        <v>0.03</v>
      </c>
      <c r="D42" s="10"/>
      <c r="E42" s="10"/>
      <c r="F42" s="10"/>
      <c r="H42" s="9"/>
      <c r="I42" s="9"/>
      <c r="J42" s="9"/>
      <c r="K42" s="9"/>
      <c r="L42" s="9"/>
      <c r="M42" s="9"/>
    </row>
    <row r="43" customFormat="false" ht="12.8" hidden="false" customHeight="false" outlineLevel="0" collapsed="false">
      <c r="A43" s="10"/>
      <c r="B43" s="10" t="s">
        <v>27</v>
      </c>
      <c r="C43" s="10" t="n">
        <v>0.09</v>
      </c>
      <c r="D43" s="10"/>
      <c r="E43" s="10"/>
      <c r="F43" s="10"/>
    </row>
    <row r="44" customFormat="false" ht="12.8" hidden="false" customHeight="false" outlineLevel="0" collapsed="false">
      <c r="A44" s="10"/>
      <c r="B44" s="10" t="s">
        <v>41</v>
      </c>
      <c r="C44" s="10" t="n">
        <v>0.05</v>
      </c>
      <c r="D44" s="10"/>
      <c r="E44" s="10"/>
      <c r="F44" s="10"/>
    </row>
    <row r="45" customFormat="false" ht="12.8" hidden="false" customHeight="false" outlineLevel="0" collapsed="false">
      <c r="A45" s="10"/>
      <c r="B45" s="10" t="s">
        <v>29</v>
      </c>
      <c r="C45" s="10" t="n">
        <v>0.04</v>
      </c>
      <c r="D45" s="10"/>
      <c r="E45" s="10"/>
      <c r="F45" s="10"/>
    </row>
    <row r="46" customFormat="false" ht="12.8" hidden="false" customHeight="false" outlineLevel="0" collapsed="false">
      <c r="A46" s="10"/>
      <c r="B46" s="10" t="s">
        <v>32</v>
      </c>
      <c r="C46" s="10" t="n">
        <v>17</v>
      </c>
      <c r="D46" s="10"/>
      <c r="E46" s="10"/>
      <c r="F46" s="10"/>
    </row>
    <row r="47" customFormat="false" ht="12.8" hidden="false" customHeight="false" outlineLevel="0" collapsed="false">
      <c r="A47" s="10"/>
      <c r="B47" s="10" t="s">
        <v>7</v>
      </c>
      <c r="C47" s="10" t="n">
        <v>13</v>
      </c>
      <c r="D47" s="10"/>
      <c r="E47" s="10"/>
      <c r="F47" s="10"/>
    </row>
    <row r="48" customFormat="false" ht="12.8" hidden="false" customHeight="false" outlineLevel="0" collapsed="false">
      <c r="A48" s="10"/>
      <c r="B48" s="10" t="s">
        <v>16</v>
      </c>
      <c r="C48" s="10" t="n">
        <f aca="false">100-SUM(C41:C47)</f>
        <v>68.59</v>
      </c>
      <c r="D48" s="10"/>
      <c r="E48" s="10"/>
      <c r="F48" s="10"/>
    </row>
    <row r="50" customFormat="false" ht="12.8" hidden="false" customHeight="true" outlineLevel="0" collapsed="false">
      <c r="A50" s="10" t="s">
        <v>36</v>
      </c>
      <c r="B50" s="10" t="s">
        <v>5</v>
      </c>
      <c r="C50" s="10" t="n">
        <v>0</v>
      </c>
      <c r="D50" s="10"/>
      <c r="E50" s="10"/>
      <c r="F50" s="10"/>
      <c r="H50" s="11" t="s">
        <v>42</v>
      </c>
      <c r="I50" s="11"/>
      <c r="J50" s="11"/>
      <c r="K50" s="11"/>
      <c r="L50" s="11"/>
      <c r="M50" s="11"/>
    </row>
    <row r="51" customFormat="false" ht="12.8" hidden="false" customHeight="false" outlineLevel="0" collapsed="false">
      <c r="A51" s="10" t="s">
        <v>43</v>
      </c>
      <c r="B51" s="10" t="s">
        <v>22</v>
      </c>
      <c r="C51" s="10" t="n">
        <v>3.44</v>
      </c>
      <c r="D51" s="10"/>
      <c r="E51" s="10"/>
      <c r="F51" s="10"/>
      <c r="H51" s="11"/>
      <c r="I51" s="11"/>
      <c r="J51" s="11"/>
      <c r="K51" s="11"/>
      <c r="L51" s="11"/>
      <c r="M51" s="11"/>
    </row>
    <row r="52" customFormat="false" ht="12.8" hidden="false" customHeight="false" outlineLevel="0" collapsed="false">
      <c r="A52" s="10"/>
      <c r="B52" s="10" t="s">
        <v>23</v>
      </c>
      <c r="C52" s="10" t="n">
        <v>0.31</v>
      </c>
      <c r="D52" s="10"/>
      <c r="E52" s="10"/>
      <c r="F52" s="10"/>
      <c r="H52" s="11"/>
      <c r="I52" s="11"/>
      <c r="J52" s="11"/>
      <c r="K52" s="11"/>
      <c r="L52" s="11"/>
      <c r="M52" s="11"/>
    </row>
    <row r="53" customFormat="false" ht="12.8" hidden="false" customHeight="false" outlineLevel="0" collapsed="false">
      <c r="A53" s="10"/>
      <c r="B53" s="10" t="s">
        <v>25</v>
      </c>
      <c r="C53" s="10" t="n">
        <v>0.12</v>
      </c>
      <c r="D53" s="10"/>
      <c r="E53" s="10"/>
      <c r="F53" s="10"/>
      <c r="H53" s="11"/>
      <c r="I53" s="11"/>
      <c r="J53" s="11"/>
      <c r="K53" s="11"/>
      <c r="L53" s="11"/>
      <c r="M53" s="11"/>
    </row>
    <row r="54" customFormat="false" ht="12.8" hidden="false" customHeight="false" outlineLevel="0" collapsed="false">
      <c r="A54" s="10"/>
      <c r="B54" s="10" t="s">
        <v>26</v>
      </c>
      <c r="C54" s="10" t="n">
        <v>0.12</v>
      </c>
      <c r="D54" s="10"/>
      <c r="E54" s="10"/>
      <c r="F54" s="10"/>
      <c r="H54" s="11"/>
      <c r="I54" s="11"/>
      <c r="J54" s="11"/>
      <c r="K54" s="11"/>
      <c r="L54" s="11"/>
      <c r="M54" s="11"/>
    </row>
    <row r="55" customFormat="false" ht="12.8" hidden="false" customHeight="false" outlineLevel="0" collapsed="false">
      <c r="A55" s="10"/>
      <c r="B55" s="10" t="s">
        <v>27</v>
      </c>
      <c r="C55" s="10" t="n">
        <v>0.15</v>
      </c>
      <c r="D55" s="10"/>
      <c r="E55" s="10"/>
      <c r="F55" s="10"/>
      <c r="H55" s="1" t="s">
        <v>44</v>
      </c>
    </row>
    <row r="56" customFormat="false" ht="12.8" hidden="false" customHeight="false" outlineLevel="0" collapsed="false">
      <c r="A56" s="10"/>
      <c r="B56" s="10" t="s">
        <v>41</v>
      </c>
      <c r="C56" s="10" t="n">
        <v>0.15</v>
      </c>
      <c r="D56" s="10"/>
      <c r="E56" s="10"/>
      <c r="F56" s="10"/>
    </row>
    <row r="57" customFormat="false" ht="12.8" hidden="false" customHeight="false" outlineLevel="0" collapsed="false">
      <c r="A57" s="10"/>
      <c r="B57" s="10" t="s">
        <v>29</v>
      </c>
      <c r="C57" s="10" t="n">
        <v>0.06</v>
      </c>
      <c r="D57" s="10"/>
      <c r="E57" s="10"/>
      <c r="F57" s="10"/>
      <c r="I57" s="1" t="n">
        <f aca="false">3.44*2.5</f>
        <v>8.6</v>
      </c>
    </row>
    <row r="58" customFormat="false" ht="12.8" hidden="false" customHeight="false" outlineLevel="0" collapsed="false">
      <c r="A58" s="10"/>
      <c r="B58" s="10" t="s">
        <v>30</v>
      </c>
      <c r="C58" s="10" t="n">
        <v>0.02</v>
      </c>
      <c r="D58" s="10"/>
      <c r="E58" s="10"/>
      <c r="F58" s="10"/>
    </row>
    <row r="59" customFormat="false" ht="12.8" hidden="false" customHeight="false" outlineLevel="0" collapsed="false">
      <c r="A59" s="10"/>
      <c r="B59" s="10" t="s">
        <v>31</v>
      </c>
      <c r="C59" s="10" t="n">
        <v>0.01</v>
      </c>
      <c r="D59" s="10"/>
      <c r="E59" s="10"/>
      <c r="F59" s="10"/>
    </row>
    <row r="60" customFormat="false" ht="12.8" hidden="false" customHeight="false" outlineLevel="0" collapsed="false">
      <c r="A60" s="10"/>
      <c r="B60" s="10" t="s">
        <v>32</v>
      </c>
      <c r="C60" s="10" t="n">
        <f aca="false">C51*2.5</f>
        <v>8.6</v>
      </c>
      <c r="D60" s="10"/>
      <c r="E60" s="10"/>
      <c r="F60" s="10"/>
    </row>
    <row r="61" customFormat="false" ht="12.8" hidden="false" customHeight="false" outlineLevel="0" collapsed="false">
      <c r="A61" s="10"/>
      <c r="B61" s="10" t="s">
        <v>7</v>
      </c>
      <c r="C61" s="10" t="n">
        <f aca="false">C51*4</f>
        <v>13.76</v>
      </c>
      <c r="D61" s="10"/>
      <c r="E61" s="10"/>
      <c r="F61" s="10"/>
    </row>
    <row r="62" customFormat="false" ht="12.8" hidden="false" customHeight="false" outlineLevel="0" collapsed="false">
      <c r="A62" s="10"/>
      <c r="B62" s="10" t="s">
        <v>34</v>
      </c>
      <c r="C62" s="10"/>
      <c r="D62" s="10"/>
      <c r="E62" s="10"/>
      <c r="F62" s="10"/>
    </row>
    <row r="63" customFormat="false" ht="12.8" hidden="false" customHeight="false" outlineLevel="0" collapsed="false">
      <c r="A63" s="10"/>
      <c r="B63" s="10" t="s">
        <v>16</v>
      </c>
      <c r="C63" s="10"/>
      <c r="D63" s="10"/>
      <c r="E63" s="10"/>
      <c r="F63" s="10"/>
    </row>
    <row r="64" customFormat="false" ht="12.8" hidden="false" customHeight="false" outlineLevel="0" collapsed="false">
      <c r="A64" s="10"/>
      <c r="B64" s="10" t="s">
        <v>35</v>
      </c>
      <c r="C64" s="10"/>
      <c r="D64" s="10"/>
      <c r="E64" s="10"/>
      <c r="F64" s="10"/>
    </row>
    <row r="66" customFormat="false" ht="12.8" hidden="false" customHeight="false" outlineLevel="0" collapsed="false">
      <c r="A66" s="1" t="s">
        <v>45</v>
      </c>
      <c r="B66" s="1" t="s">
        <v>18</v>
      </c>
      <c r="C66" s="1" t="n">
        <v>0.78</v>
      </c>
      <c r="D66" s="1" t="s">
        <v>46</v>
      </c>
      <c r="E66" s="1" t="n">
        <v>0.85</v>
      </c>
      <c r="F66" s="1" t="s">
        <v>47</v>
      </c>
      <c r="G66" s="1" t="n">
        <f aca="false">E66*C66</f>
        <v>0.663</v>
      </c>
      <c r="J66" s="12"/>
    </row>
    <row r="67" customFormat="false" ht="12.8" hidden="false" customHeight="false" outlineLevel="0" collapsed="false">
      <c r="A67" s="1" t="s">
        <v>48</v>
      </c>
      <c r="C67" s="1" t="s">
        <v>10</v>
      </c>
      <c r="D67" s="1" t="s">
        <v>11</v>
      </c>
      <c r="E67" s="1" t="s">
        <v>12</v>
      </c>
      <c r="F67" s="1" t="s">
        <v>13</v>
      </c>
      <c r="G67" s="1" t="s">
        <v>49</v>
      </c>
    </row>
    <row r="68" customFormat="false" ht="12.8" hidden="false" customHeight="false" outlineLevel="0" collapsed="false">
      <c r="B68" s="1" t="s">
        <v>22</v>
      </c>
      <c r="C68" s="1" t="n">
        <v>0.7</v>
      </c>
      <c r="D68" s="1" t="n">
        <f aca="false">D23*(1-C66)</f>
        <v>7.31126</v>
      </c>
      <c r="E68" s="1" t="n">
        <v>70</v>
      </c>
      <c r="F68" s="1" t="n">
        <f aca="false">D68*E68</f>
        <v>511.7882</v>
      </c>
    </row>
    <row r="69" customFormat="false" ht="12.8" hidden="false" customHeight="false" outlineLevel="0" collapsed="false">
      <c r="B69" s="1" t="s">
        <v>23</v>
      </c>
      <c r="C69" s="1" t="n">
        <v>0.1</v>
      </c>
      <c r="D69" s="2" t="n">
        <f aca="false">C69/100*$D$82</f>
        <v>1.04446571428571</v>
      </c>
      <c r="E69" s="1" t="n">
        <v>28</v>
      </c>
      <c r="F69" s="2" t="n">
        <f aca="false">D69*E69</f>
        <v>29.24504</v>
      </c>
      <c r="I69" s="1" t="s">
        <v>50</v>
      </c>
    </row>
    <row r="70" customFormat="false" ht="12.8" hidden="false" customHeight="false" outlineLevel="0" collapsed="false">
      <c r="B70" s="1" t="s">
        <v>25</v>
      </c>
      <c r="C70" s="1" t="n">
        <v>2.28</v>
      </c>
      <c r="D70" s="2" t="n">
        <f aca="false">C70/100*$D$82</f>
        <v>23.8138182857143</v>
      </c>
      <c r="E70" s="1" t="n">
        <v>86</v>
      </c>
      <c r="F70" s="2" t="n">
        <f aca="false">D70*E70</f>
        <v>2047.98837257143</v>
      </c>
    </row>
    <row r="71" customFormat="false" ht="12.8" hidden="false" customHeight="false" outlineLevel="0" collapsed="false">
      <c r="B71" s="1" t="s">
        <v>26</v>
      </c>
      <c r="C71" s="1" t="n">
        <v>0.31</v>
      </c>
      <c r="D71" s="2" t="n">
        <f aca="false">C71/100*$D$82</f>
        <v>3.23784371428571</v>
      </c>
      <c r="E71" s="1" t="n">
        <v>60</v>
      </c>
      <c r="F71" s="2" t="n">
        <f aca="false">D71*E71</f>
        <v>194.270622857143</v>
      </c>
    </row>
    <row r="72" customFormat="false" ht="12.8" hidden="false" customHeight="false" outlineLevel="0" collapsed="false">
      <c r="B72" s="1" t="s">
        <v>27</v>
      </c>
      <c r="C72" s="1" t="n">
        <v>0.12</v>
      </c>
      <c r="D72" s="2" t="n">
        <f aca="false">C72/100*$D$82</f>
        <v>1.25335885714286</v>
      </c>
      <c r="E72" s="1" t="n">
        <v>58</v>
      </c>
      <c r="F72" s="2" t="n">
        <f aca="false">D72*E72</f>
        <v>72.6948137142857</v>
      </c>
    </row>
    <row r="73" customFormat="false" ht="12.8" hidden="false" customHeight="false" outlineLevel="0" collapsed="false">
      <c r="B73" s="1" t="s">
        <v>41</v>
      </c>
      <c r="C73" s="1" t="n">
        <v>0.21</v>
      </c>
      <c r="D73" s="2" t="n">
        <f aca="false">C73/100*$D$82</f>
        <v>2.193378</v>
      </c>
      <c r="E73" s="1" t="n">
        <v>44</v>
      </c>
      <c r="F73" s="2" t="n">
        <f aca="false">D73*E73</f>
        <v>96.508632</v>
      </c>
    </row>
    <row r="74" customFormat="false" ht="12.8" hidden="false" customHeight="false" outlineLevel="0" collapsed="false">
      <c r="B74" s="1" t="s">
        <v>29</v>
      </c>
      <c r="C74" s="1" t="n">
        <v>0.04</v>
      </c>
      <c r="D74" s="2" t="n">
        <f aca="false">C74/100*$D$82</f>
        <v>0.417786285714286</v>
      </c>
      <c r="E74" s="1" t="n">
        <v>56</v>
      </c>
      <c r="F74" s="2" t="n">
        <f aca="false">D74*E74</f>
        <v>23.396032</v>
      </c>
    </row>
    <row r="75" customFormat="false" ht="12.8" hidden="false" customHeight="false" outlineLevel="0" collapsed="false">
      <c r="B75" s="1" t="s">
        <v>30</v>
      </c>
      <c r="C75" s="1" t="n">
        <v>0.03</v>
      </c>
      <c r="D75" s="2" t="n">
        <f aca="false">C75/100*$D$82</f>
        <v>0.313339714285714</v>
      </c>
      <c r="E75" s="1" t="n">
        <v>30</v>
      </c>
      <c r="F75" s="2" t="n">
        <f aca="false">D75*E75</f>
        <v>9.40019142857143</v>
      </c>
    </row>
    <row r="76" customFormat="false" ht="12.8" hidden="false" customHeight="false" outlineLevel="0" collapsed="false">
      <c r="B76" s="1" t="s">
        <v>31</v>
      </c>
      <c r="C76" s="1" t="n">
        <v>0.03</v>
      </c>
      <c r="D76" s="2" t="n">
        <f aca="false">C76/100*$D$82</f>
        <v>0.313339714285714</v>
      </c>
      <c r="E76" s="1" t="n">
        <v>72</v>
      </c>
      <c r="F76" s="2" t="n">
        <f aca="false">D76*E76</f>
        <v>22.5604594285714</v>
      </c>
    </row>
    <row r="77" customFormat="false" ht="12.8" hidden="false" customHeight="false" outlineLevel="0" collapsed="false">
      <c r="B77" s="1" t="s">
        <v>32</v>
      </c>
      <c r="C77" s="1" t="n">
        <v>6.5</v>
      </c>
      <c r="D77" s="2" t="n">
        <f aca="false">C77/100*$D$82</f>
        <v>67.8902714285714</v>
      </c>
      <c r="E77" s="1" t="n">
        <v>32</v>
      </c>
      <c r="F77" s="2" t="n">
        <f aca="false">D77*E77</f>
        <v>2172.48868571429</v>
      </c>
    </row>
    <row r="78" customFormat="false" ht="12.8" hidden="false" customHeight="false" outlineLevel="0" collapsed="false">
      <c r="B78" s="1" t="s">
        <v>7</v>
      </c>
      <c r="D78" s="2" t="n">
        <f aca="false">F78/E78</f>
        <v>198.278983849796</v>
      </c>
      <c r="E78" s="1" t="n">
        <v>18</v>
      </c>
      <c r="F78" s="2" t="n">
        <f aca="false">F104</f>
        <v>3569.02170929633</v>
      </c>
    </row>
    <row r="79" customFormat="false" ht="12.8" hidden="false" customHeight="false" outlineLevel="0" collapsed="false">
      <c r="B79" s="1" t="s">
        <v>34</v>
      </c>
      <c r="D79" s="2" t="n">
        <f aca="false">F79/E79</f>
        <v>-59.8789367827088</v>
      </c>
      <c r="E79" s="1" t="n">
        <v>44</v>
      </c>
      <c r="F79" s="2" t="n">
        <f aca="false">F82-SUM(F80,F81,F68:F78)</f>
        <v>-2634.67321843919</v>
      </c>
    </row>
    <row r="80" customFormat="false" ht="12.8" hidden="false" customHeight="false" outlineLevel="0" collapsed="false">
      <c r="B80" s="1" t="s">
        <v>16</v>
      </c>
      <c r="C80" s="2" t="n">
        <f aca="false">D80/D82%</f>
        <v>28.3442003405457</v>
      </c>
      <c r="D80" s="2" t="n">
        <f aca="false">D33</f>
        <v>296.045454545455</v>
      </c>
      <c r="E80" s="1" t="n">
        <v>28</v>
      </c>
      <c r="F80" s="2" t="n">
        <f aca="false">D80*E80</f>
        <v>8289.27272727273</v>
      </c>
    </row>
    <row r="81" customFormat="false" ht="12.8" hidden="false" customHeight="false" outlineLevel="0" collapsed="false">
      <c r="B81" s="1" t="s">
        <v>51</v>
      </c>
      <c r="D81" s="2" t="n">
        <f aca="false">F81/E81</f>
        <v>0.135906382099828</v>
      </c>
      <c r="E81" s="1" t="n">
        <v>166</v>
      </c>
      <c r="F81" s="2" t="n">
        <f aca="false">F102</f>
        <v>22.5604594285714</v>
      </c>
    </row>
    <row r="82" customFormat="false" ht="12.8" hidden="false" customHeight="false" outlineLevel="0" collapsed="false">
      <c r="B82" s="1" t="s">
        <v>17</v>
      </c>
      <c r="D82" s="2" t="n">
        <f aca="false">D68/C68%</f>
        <v>1044.46571428571</v>
      </c>
      <c r="F82" s="2" t="n">
        <f aca="false">F36</f>
        <v>14426.5227272727</v>
      </c>
    </row>
    <row r="83" customFormat="false" ht="12.8" hidden="false" customHeight="false" outlineLevel="0" collapsed="false">
      <c r="A83" s="1" t="s">
        <v>52</v>
      </c>
      <c r="D83" s="2" t="n">
        <f aca="false">SUM(D68:D81)</f>
        <v>542.370269708927</v>
      </c>
      <c r="F83" s="2" t="n">
        <f aca="false">SUM(F68:F81)</f>
        <v>14426.5227272727</v>
      </c>
    </row>
    <row r="84" customFormat="false" ht="12.8" hidden="false" customHeight="false" outlineLevel="0" collapsed="false">
      <c r="A84" s="1" t="s">
        <v>53</v>
      </c>
    </row>
    <row r="86" customFormat="false" ht="12.8" hidden="false" customHeight="false" outlineLevel="0" collapsed="false">
      <c r="A86" s="1" t="s">
        <v>54</v>
      </c>
      <c r="B86" s="2"/>
      <c r="C86" s="2" t="s">
        <v>10</v>
      </c>
      <c r="D86" s="2" t="s">
        <v>11</v>
      </c>
      <c r="E86" s="2" t="s">
        <v>12</v>
      </c>
      <c r="F86" s="2" t="s">
        <v>13</v>
      </c>
      <c r="G86" s="2" t="s">
        <v>49</v>
      </c>
    </row>
    <row r="87" customFormat="false" ht="12.8" hidden="false" customHeight="false" outlineLevel="0" collapsed="false">
      <c r="B87" s="2" t="s">
        <v>22</v>
      </c>
      <c r="C87" s="2"/>
      <c r="D87" s="2"/>
      <c r="E87" s="2"/>
      <c r="F87" s="2" t="n">
        <f aca="false">F68-F100</f>
        <v>500.085409299592</v>
      </c>
      <c r="G87" s="2"/>
    </row>
    <row r="88" customFormat="false" ht="12.8" hidden="false" customHeight="false" outlineLevel="0" collapsed="false">
      <c r="B88" s="2" t="s">
        <v>23</v>
      </c>
      <c r="C88" s="2"/>
      <c r="D88" s="2"/>
      <c r="E88" s="2"/>
      <c r="F88" s="2" t="n">
        <f aca="false">F69</f>
        <v>29.24504</v>
      </c>
      <c r="G88" s="2"/>
    </row>
    <row r="89" customFormat="false" ht="12.8" hidden="false" customHeight="false" outlineLevel="0" collapsed="false">
      <c r="B89" s="2" t="s">
        <v>55</v>
      </c>
      <c r="C89" s="2"/>
      <c r="D89" s="2"/>
      <c r="E89" s="2"/>
      <c r="F89" s="2" t="n">
        <f aca="false">F72</f>
        <v>72.6948137142857</v>
      </c>
      <c r="G89" s="2"/>
    </row>
    <row r="90" customFormat="false" ht="12.8" hidden="false" customHeight="false" outlineLevel="0" collapsed="false">
      <c r="B90" s="2" t="s">
        <v>41</v>
      </c>
      <c r="C90" s="2"/>
      <c r="D90" s="2"/>
      <c r="E90" s="2"/>
      <c r="F90" s="2" t="n">
        <f aca="false">F73</f>
        <v>96.508632</v>
      </c>
      <c r="G90" s="2"/>
    </row>
    <row r="91" customFormat="false" ht="12.8" hidden="false" customHeight="false" outlineLevel="0" collapsed="false">
      <c r="B91" s="2" t="s">
        <v>29</v>
      </c>
      <c r="C91" s="2"/>
      <c r="D91" s="2"/>
      <c r="E91" s="2"/>
      <c r="F91" s="2" t="n">
        <f aca="false">F74</f>
        <v>23.396032</v>
      </c>
      <c r="G91" s="2"/>
    </row>
    <row r="92" customFormat="false" ht="12.8" hidden="false" customHeight="false" outlineLevel="0" collapsed="false">
      <c r="B92" s="2" t="s">
        <v>32</v>
      </c>
      <c r="C92" s="2"/>
      <c r="D92" s="2"/>
      <c r="E92" s="2"/>
      <c r="F92" s="2" t="n">
        <f aca="false">F77</f>
        <v>2172.48868571429</v>
      </c>
      <c r="G92" s="2"/>
    </row>
    <row r="93" customFormat="false" ht="12.8" hidden="false" customHeight="false" outlineLevel="0" collapsed="false">
      <c r="B93" s="2" t="s">
        <v>30</v>
      </c>
      <c r="C93" s="2"/>
      <c r="D93" s="2"/>
      <c r="E93" s="2"/>
      <c r="F93" s="2" t="n">
        <f aca="false">F75</f>
        <v>9.40019142857143</v>
      </c>
      <c r="G93" s="2"/>
    </row>
    <row r="94" customFormat="false" ht="12.8" hidden="false" customHeight="false" outlineLevel="0" collapsed="false">
      <c r="B94" s="2" t="s">
        <v>34</v>
      </c>
      <c r="C94" s="2"/>
      <c r="D94" s="2"/>
      <c r="E94" s="2"/>
      <c r="F94" s="2" t="n">
        <f aca="false">F79</f>
        <v>-2634.67321843919</v>
      </c>
      <c r="G94" s="2"/>
    </row>
    <row r="95" customFormat="false" ht="12.8" hidden="false" customHeight="false" outlineLevel="0" collapsed="false">
      <c r="B95" s="2" t="s">
        <v>16</v>
      </c>
      <c r="C95" s="2"/>
      <c r="D95" s="2"/>
      <c r="E95" s="2"/>
      <c r="F95" s="2" t="n">
        <f aca="false">F80</f>
        <v>8289.27272727273</v>
      </c>
      <c r="G95" s="2"/>
    </row>
    <row r="96" customFormat="false" ht="12.8" hidden="false" customHeight="false" outlineLevel="0" collapsed="false">
      <c r="B96" s="2" t="s">
        <v>17</v>
      </c>
      <c r="C96" s="2"/>
      <c r="D96" s="2"/>
      <c r="E96" s="2"/>
      <c r="F96" s="2" t="n">
        <f aca="false">F82-F105</f>
        <v>8575.12737706864</v>
      </c>
      <c r="G96" s="2"/>
    </row>
    <row r="97" customFormat="false" ht="12.8" hidden="false" customHeight="false" outlineLevel="0" collapsed="false">
      <c r="B97" s="2"/>
      <c r="C97" s="2"/>
      <c r="D97" s="2"/>
      <c r="E97" s="2"/>
      <c r="F97" s="2" t="n">
        <f aca="false">SUM(F87:F95)</f>
        <v>8558.41831299027</v>
      </c>
      <c r="G97" s="2"/>
    </row>
    <row r="98" customFormat="false" ht="12.8" hidden="false" customHeight="false" outlineLevel="0" collapsed="false">
      <c r="A98" s="1" t="s">
        <v>56</v>
      </c>
      <c r="C98" s="1" t="s">
        <v>10</v>
      </c>
      <c r="D98" s="1" t="s">
        <v>11</v>
      </c>
      <c r="E98" s="1" t="s">
        <v>57</v>
      </c>
      <c r="F98" s="1" t="s">
        <v>13</v>
      </c>
      <c r="G98" s="1" t="s">
        <v>49</v>
      </c>
    </row>
    <row r="99" customFormat="false" ht="12.8" hidden="false" customHeight="false" outlineLevel="0" collapsed="false">
      <c r="A99" s="1" t="s">
        <v>40</v>
      </c>
      <c r="B99" s="1" t="s">
        <v>25</v>
      </c>
      <c r="F99" s="2" t="n">
        <f aca="false">F70</f>
        <v>2047.98837257143</v>
      </c>
      <c r="G99" s="1" t="n">
        <v>35</v>
      </c>
    </row>
    <row r="100" customFormat="false" ht="12.8" hidden="false" customHeight="false" outlineLevel="0" collapsed="false">
      <c r="A100" s="1" t="s">
        <v>58</v>
      </c>
      <c r="B100" s="1" t="s">
        <v>22</v>
      </c>
      <c r="F100" s="2" t="n">
        <f aca="false">G100%*$F$105</f>
        <v>11.7027907004082</v>
      </c>
      <c r="G100" s="1" t="n">
        <v>0.2</v>
      </c>
    </row>
    <row r="101" customFormat="false" ht="12.8" hidden="false" customHeight="false" outlineLevel="0" collapsed="false">
      <c r="A101" s="1" t="s">
        <v>59</v>
      </c>
      <c r="B101" s="1" t="s">
        <v>51</v>
      </c>
      <c r="F101" s="2" t="n">
        <f aca="false">G101%*$F$105</f>
        <v>5.85139535020408</v>
      </c>
      <c r="G101" s="1" t="n">
        <f aca="false">1000*10^-6*10^2</f>
        <v>0.1</v>
      </c>
    </row>
    <row r="102" customFormat="false" ht="12.8" hidden="false" customHeight="false" outlineLevel="0" collapsed="false">
      <c r="B102" s="1" t="s">
        <v>31</v>
      </c>
      <c r="F102" s="2" t="n">
        <f aca="false">F76</f>
        <v>22.5604594285714</v>
      </c>
      <c r="G102" s="2"/>
    </row>
    <row r="103" customFormat="false" ht="12.8" hidden="false" customHeight="false" outlineLevel="0" collapsed="false">
      <c r="B103" s="1" t="s">
        <v>60</v>
      </c>
      <c r="F103" s="2" t="n">
        <f aca="false">F71</f>
        <v>194.270622857143</v>
      </c>
      <c r="G103" s="2"/>
    </row>
    <row r="104" customFormat="false" ht="12.8" hidden="false" customHeight="false" outlineLevel="0" collapsed="false">
      <c r="B104" s="1" t="s">
        <v>61</v>
      </c>
      <c r="F104" s="2" t="n">
        <f aca="false">F105-SUM(F99:F103)</f>
        <v>3569.02170929633</v>
      </c>
    </row>
    <row r="105" customFormat="false" ht="12.8" hidden="false" customHeight="false" outlineLevel="0" collapsed="false">
      <c r="F105" s="2" t="n">
        <f aca="false">F99/G99%</f>
        <v>5851.39535020408</v>
      </c>
    </row>
    <row r="106" customFormat="false" ht="12.8" hidden="false" customHeight="false" outlineLevel="0" collapsed="false">
      <c r="A106" s="1" t="s">
        <v>62</v>
      </c>
      <c r="J106" s="1" t="s">
        <v>63</v>
      </c>
    </row>
    <row r="107" customFormat="false" ht="12.8" hidden="false" customHeight="false" outlineLevel="0" collapsed="false">
      <c r="B107" s="1" t="s">
        <v>25</v>
      </c>
      <c r="J107" s="1" t="s">
        <v>51</v>
      </c>
    </row>
    <row r="108" customFormat="false" ht="12.8" hidden="false" customHeight="false" outlineLevel="0" collapsed="false">
      <c r="B108" s="1" t="s">
        <v>22</v>
      </c>
    </row>
    <row r="109" customFormat="false" ht="12.8" hidden="false" customHeight="false" outlineLevel="0" collapsed="false">
      <c r="B109" s="1" t="s">
        <v>64</v>
      </c>
    </row>
    <row r="111" customFormat="false" ht="12.8" hidden="false" customHeight="false" outlineLevel="0" collapsed="false">
      <c r="A111" s="1" t="s">
        <v>65</v>
      </c>
    </row>
    <row r="112" customFormat="false" ht="12.8" hidden="false" customHeight="false" outlineLevel="0" collapsed="false">
      <c r="B112" s="1" t="s">
        <v>22</v>
      </c>
    </row>
    <row r="115" customFormat="false" ht="12.8" hidden="false" customHeight="false" outlineLevel="0" collapsed="false">
      <c r="A115" s="1" t="s">
        <v>66</v>
      </c>
      <c r="B115" s="1" t="s">
        <v>16</v>
      </c>
    </row>
    <row r="116" customFormat="false" ht="12.8" hidden="false" customHeight="false" outlineLevel="0" collapsed="false">
      <c r="B116" s="1" t="s">
        <v>15</v>
      </c>
    </row>
    <row r="117" customFormat="false" ht="12.8" hidden="false" customHeight="false" outlineLevel="0" collapsed="false">
      <c r="B117" s="1" t="s">
        <v>23</v>
      </c>
    </row>
    <row r="118" customFormat="false" ht="12.8" hidden="false" customHeight="false" outlineLevel="0" collapsed="false">
      <c r="B118" s="1" t="s">
        <v>34</v>
      </c>
    </row>
    <row r="119" customFormat="false" ht="12.8" hidden="false" customHeight="false" outlineLevel="0" collapsed="false">
      <c r="B119" s="1" t="s">
        <v>67</v>
      </c>
    </row>
    <row r="121" customFormat="false" ht="12.8" hidden="false" customHeight="false" outlineLevel="0" collapsed="false">
      <c r="A121" s="1" t="s">
        <v>68</v>
      </c>
    </row>
    <row r="125" customFormat="false" ht="12.8" hidden="false" customHeight="true" outlineLevel="0" collapsed="false">
      <c r="K125" s="11" t="s">
        <v>69</v>
      </c>
      <c r="L125" s="11"/>
      <c r="M125" s="11"/>
      <c r="N125" s="11"/>
      <c r="O125" s="11"/>
      <c r="P125" s="11"/>
    </row>
    <row r="126" customFormat="false" ht="12.8" hidden="false" customHeight="false" outlineLevel="0" collapsed="false">
      <c r="A126" s="1" t="s">
        <v>70</v>
      </c>
      <c r="C126" s="1" t="s">
        <v>10</v>
      </c>
      <c r="D126" s="1" t="s">
        <v>11</v>
      </c>
      <c r="E126" s="1" t="s">
        <v>12</v>
      </c>
      <c r="F126" s="1" t="s">
        <v>13</v>
      </c>
      <c r="G126" s="1" t="s">
        <v>49</v>
      </c>
      <c r="K126" s="11"/>
      <c r="L126" s="11"/>
      <c r="M126" s="11"/>
      <c r="N126" s="11"/>
      <c r="O126" s="11"/>
      <c r="P126" s="11"/>
    </row>
    <row r="127" customFormat="false" ht="12.8" hidden="false" customHeight="false" outlineLevel="0" collapsed="false">
      <c r="B127" s="1" t="s">
        <v>22</v>
      </c>
      <c r="G127" s="1" t="n">
        <v>85</v>
      </c>
      <c r="K127" s="11"/>
      <c r="L127" s="11"/>
      <c r="M127" s="11"/>
      <c r="N127" s="11"/>
      <c r="O127" s="11"/>
      <c r="P127" s="11"/>
    </row>
    <row r="128" customFormat="false" ht="12.8" hidden="false" customHeight="false" outlineLevel="0" collapsed="false">
      <c r="B128" s="1" t="s">
        <v>27</v>
      </c>
      <c r="G128" s="1" t="n">
        <v>5</v>
      </c>
      <c r="H128" s="1" t="s">
        <v>71</v>
      </c>
    </row>
    <row r="129" customFormat="false" ht="12.8" hidden="false" customHeight="false" outlineLevel="0" collapsed="false">
      <c r="B129" s="1" t="s">
        <v>29</v>
      </c>
      <c r="G129" s="1" t="n">
        <v>3</v>
      </c>
    </row>
    <row r="130" customFormat="false" ht="12.8" hidden="false" customHeight="false" outlineLevel="0" collapsed="false">
      <c r="B130" s="1" t="s">
        <v>25</v>
      </c>
      <c r="G130" s="1" t="n">
        <v>0.5</v>
      </c>
    </row>
    <row r="131" customFormat="false" ht="12.8" hidden="false" customHeight="false" outlineLevel="0" collapsed="false">
      <c r="B131" s="1" t="s">
        <v>72</v>
      </c>
      <c r="G131" s="1" t="n">
        <f aca="false">100-SUM(G127:G130)</f>
        <v>6.5</v>
      </c>
    </row>
  </sheetData>
  <mergeCells count="3">
    <mergeCell ref="H38:M42"/>
    <mergeCell ref="H50:M54"/>
    <mergeCell ref="K125:P12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1"/>
  <sheetViews>
    <sheetView showFormulas="false" showGridLines="true" showRowColHeaders="true" showZeros="true" rightToLeft="false" tabSelected="true" showOutlineSymbols="true" defaultGridColor="true" view="normal" topLeftCell="A8" colorId="64" zoomScale="103" zoomScaleNormal="103" zoomScalePageLayoutView="100" workbookViewId="0">
      <selection pane="topLeft" activeCell="B17" activeCellId="0" sqref="B17:E31"/>
    </sheetView>
  </sheetViews>
  <sheetFormatPr defaultColWidth="11.53515625" defaultRowHeight="12.8" zeroHeight="false" outlineLevelRow="0" outlineLevelCol="0"/>
  <cols>
    <col collapsed="false" customWidth="true" hidden="false" outlineLevel="0" max="2" min="2" style="1" width="15.51"/>
    <col collapsed="false" customWidth="true" hidden="false" outlineLevel="0" max="3" min="3" style="1" width="13.91"/>
    <col collapsed="false" customWidth="true" hidden="false" outlineLevel="0" max="11" min="11" style="1" width="13.21"/>
    <col collapsed="false" customWidth="true" hidden="false" outlineLevel="0" max="12" min="12" style="1" width="14"/>
    <col collapsed="false" customWidth="true" hidden="false" outlineLevel="0" max="13" min="13" style="1" width="25.43"/>
    <col collapsed="false" customWidth="true" hidden="false" outlineLevel="0" max="14" min="14" style="1" width="15.1"/>
    <col collapsed="false" customWidth="false" hidden="false" outlineLevel="0" max="16" min="15" style="1" width="11.53"/>
    <col collapsed="false" customWidth="true" hidden="false" outlineLevel="0" max="17" min="17" style="1" width="14.06"/>
    <col collapsed="false" customWidth="true" hidden="false" outlineLevel="0" max="21" min="21" style="1" width="13.73"/>
    <col collapsed="false" customWidth="true" hidden="false" outlineLevel="0" max="24" min="24" style="1" width="13.34"/>
  </cols>
  <sheetData>
    <row r="1" customFormat="false" ht="12.8" hidden="false" customHeight="false" outlineLevel="0" collapsed="false">
      <c r="A1" s="2"/>
      <c r="B1" s="2"/>
      <c r="C1" s="2"/>
      <c r="D1" s="2"/>
      <c r="E1" s="2" t="s">
        <v>73</v>
      </c>
      <c r="F1" s="2" t="s">
        <v>74</v>
      </c>
      <c r="G1" s="2" t="s">
        <v>75</v>
      </c>
      <c r="H1" s="1" t="s">
        <v>76</v>
      </c>
      <c r="J1" s="1" t="s">
        <v>77</v>
      </c>
      <c r="K1" s="1" t="s">
        <v>73</v>
      </c>
      <c r="L1" s="1" t="s">
        <v>74</v>
      </c>
      <c r="M1" s="1" t="s">
        <v>75</v>
      </c>
      <c r="N1" s="1" t="s">
        <v>78</v>
      </c>
      <c r="O1" s="1" t="s">
        <v>79</v>
      </c>
      <c r="P1" s="1" t="s">
        <v>80</v>
      </c>
      <c r="Q1" s="1" t="s">
        <v>81</v>
      </c>
    </row>
    <row r="2" customFormat="false" ht="12.8" hidden="false" customHeight="false" outlineLevel="0" collapsed="false">
      <c r="A2" s="13" t="s">
        <v>82</v>
      </c>
      <c r="B2" s="13"/>
      <c r="C2" s="13"/>
      <c r="D2" s="2"/>
      <c r="E2" s="2" t="n">
        <f aca="false">C25+C20-C31</f>
        <v>-312.972</v>
      </c>
      <c r="F2" s="14" t="n">
        <f aca="false">D25+D20-D31</f>
        <v>-0.013009</v>
      </c>
      <c r="G2" s="14" t="n">
        <f aca="false">E25+E20-E31</f>
        <v>3.78469999999999E-006</v>
      </c>
      <c r="H2" s="1" t="s">
        <v>27</v>
      </c>
      <c r="J2" s="1" t="str">
        <f aca="false">H2</f>
        <v>acetone</v>
      </c>
      <c r="K2" s="2" t="n">
        <f aca="false">E2</f>
        <v>-312.972</v>
      </c>
      <c r="L2" s="14" t="n">
        <f aca="false">F2</f>
        <v>-0.013009</v>
      </c>
      <c r="M2" s="14" t="n">
        <f aca="false">G2</f>
        <v>3.78469999999999E-006</v>
      </c>
      <c r="N2" s="2" t="n">
        <f aca="false">350+273.15</f>
        <v>623.15</v>
      </c>
      <c r="O2" s="2" t="n">
        <f aca="false">$K2+$L2*N2+$M2*N2^2</f>
        <v>-319.608899078114</v>
      </c>
      <c r="P2" s="1" t="n">
        <f aca="false">302+273.15</f>
        <v>575.15</v>
      </c>
      <c r="Q2" s="2" t="n">
        <f aca="false">$K2+$L2*P2+$M2*P2^2</f>
        <v>-319.202156966594</v>
      </c>
      <c r="S2" s="1"/>
      <c r="T2" s="1"/>
      <c r="V2" s="1"/>
      <c r="W2" s="1"/>
      <c r="Y2" s="1"/>
      <c r="Z2" s="1"/>
    </row>
    <row r="3" customFormat="false" ht="12.8" hidden="false" customHeight="false" outlineLevel="0" collapsed="false">
      <c r="A3" s="13" t="s">
        <v>83</v>
      </c>
      <c r="B3" s="13"/>
      <c r="C3" s="13"/>
      <c r="D3" s="2"/>
      <c r="E3" s="2" t="n">
        <f aca="false">C21+C19-C26+C29</f>
        <v>-963.534</v>
      </c>
      <c r="F3" s="14" t="n">
        <f aca="false">D21+D19-D26+D29</f>
        <v>-4.76069587</v>
      </c>
      <c r="G3" s="14" t="n">
        <f aca="false">E21+E19-E26+E29</f>
        <v>-2.80879E-005</v>
      </c>
      <c r="H3" s="1" t="s">
        <v>60</v>
      </c>
      <c r="J3" s="1" t="str">
        <f aca="false">H3</f>
        <v>acetic acid</v>
      </c>
      <c r="K3" s="2" t="n">
        <f aca="false">E3</f>
        <v>-963.534</v>
      </c>
      <c r="L3" s="14" t="n">
        <f aca="false">F3</f>
        <v>-4.76069587</v>
      </c>
      <c r="M3" s="14" t="n">
        <f aca="false">G3</f>
        <v>-2.80879E-005</v>
      </c>
      <c r="N3" s="2" t="n">
        <f aca="false">350+273.15</f>
        <v>623.15</v>
      </c>
      <c r="O3" s="2" t="n">
        <f aca="false">$K3+$L3*N3+$M3*N3^2</f>
        <v>-3941.06861019009</v>
      </c>
      <c r="P3" s="1" t="n">
        <f aca="false">302+273.15</f>
        <v>575.15</v>
      </c>
      <c r="Q3" s="2" t="n">
        <f aca="false">$K3+$L3*P3+$M3*P3^2</f>
        <v>-3710.93963736273</v>
      </c>
    </row>
    <row r="4" customFormat="false" ht="12.8" hidden="false" customHeight="false" outlineLevel="0" collapsed="false">
      <c r="A4" s="13" t="s">
        <v>84</v>
      </c>
      <c r="B4" s="13"/>
      <c r="C4" s="13"/>
      <c r="D4" s="2"/>
      <c r="E4" s="2" t="n">
        <f aca="false">C24+C29-C26</f>
        <v>-472.566</v>
      </c>
      <c r="F4" s="14" t="n">
        <f aca="false">D24+D29-D26</f>
        <v>0.030496</v>
      </c>
      <c r="G4" s="14" t="n">
        <f aca="false">E24+E29-E26</f>
        <v>-2.91374E-005</v>
      </c>
      <c r="H4" s="1" t="s">
        <v>85</v>
      </c>
      <c r="J4" s="1" t="str">
        <f aca="false">H4</f>
        <v>acry</v>
      </c>
      <c r="K4" s="2" t="n">
        <f aca="false">E4</f>
        <v>-472.566</v>
      </c>
      <c r="L4" s="14" t="n">
        <f aca="false">F4</f>
        <v>0.030496</v>
      </c>
      <c r="M4" s="14" t="n">
        <f aca="false">G4</f>
        <v>-2.91374E-005</v>
      </c>
      <c r="N4" s="2" t="n">
        <f aca="false">350+273.15</f>
        <v>623.15</v>
      </c>
      <c r="O4" s="2" t="n">
        <f aca="false">$K4+$L4*N4+$M4*N4^2</f>
        <v>-464.876933960252</v>
      </c>
      <c r="P4" s="1" t="n">
        <f aca="false">302+273.15</f>
        <v>575.15</v>
      </c>
      <c r="Q4" s="2" t="n">
        <f aca="false">$K4+$L4*P4+$M4*P4^2</f>
        <v>-464.664805332092</v>
      </c>
    </row>
    <row r="5" customFormat="false" ht="12.8" hidden="false" customHeight="false" outlineLevel="0" collapsed="false">
      <c r="A5" s="13" t="s">
        <v>86</v>
      </c>
      <c r="B5" s="13"/>
      <c r="C5" s="13"/>
      <c r="D5" s="2"/>
      <c r="E5" s="2" t="n">
        <f aca="false">C23+C19+2*C29-C31</f>
        <v>-941.07</v>
      </c>
      <c r="F5" s="14" t="n">
        <f aca="false">D23+D19+2*D29-D31</f>
        <v>-0.00221387000000001</v>
      </c>
      <c r="G5" s="14" t="n">
        <f aca="false">E23+E19+2*E29-E31</f>
        <v>6.23369999999999E-006</v>
      </c>
      <c r="H5" s="1" t="s">
        <v>87</v>
      </c>
      <c r="J5" s="1" t="str">
        <f aca="false">H5</f>
        <v>acro</v>
      </c>
      <c r="K5" s="1" t="n">
        <f aca="false">E5+E6</f>
        <v>-1548.722</v>
      </c>
      <c r="L5" s="1" t="n">
        <f aca="false">F5+F6</f>
        <v>0.01301226</v>
      </c>
      <c r="M5" s="1" t="n">
        <f aca="false">G5+G6</f>
        <v>-6.50820000000001E-006</v>
      </c>
      <c r="N5" s="2" t="n">
        <f aca="false">350+273.15</f>
        <v>623.15</v>
      </c>
      <c r="O5" s="2" t="n">
        <f aca="false">$K5+$L5*N5+$M5*N5^2</f>
        <v>-1543.14064786781</v>
      </c>
      <c r="P5" s="1" t="n">
        <f aca="false">302+273.15</f>
        <v>575.15</v>
      </c>
      <c r="Q5" s="2" t="n">
        <f aca="false">$K5+$L5*P5+$M5*P5^2</f>
        <v>-1543.39089509693</v>
      </c>
    </row>
    <row r="6" customFormat="false" ht="12.8" hidden="false" customHeight="false" outlineLevel="0" collapsed="false">
      <c r="A6" s="13" t="s">
        <v>88</v>
      </c>
      <c r="B6" s="13"/>
      <c r="C6" s="13"/>
      <c r="D6" s="2"/>
      <c r="E6" s="2" t="n">
        <f aca="false">C23+C19+C29-C26</f>
        <v>-607.652</v>
      </c>
      <c r="F6" s="14" t="n">
        <f aca="false">D23+D19+D29-D26</f>
        <v>0.01522613</v>
      </c>
      <c r="G6" s="14" t="n">
        <f aca="false">E23+E19+E29-E26</f>
        <v>-1.27419E-005</v>
      </c>
      <c r="H6" s="1" t="s">
        <v>87</v>
      </c>
      <c r="J6" s="1" t="str">
        <f aca="false">H7</f>
        <v>acetal</v>
      </c>
      <c r="K6" s="2" t="n">
        <f aca="false">E7</f>
        <v>-1088.494</v>
      </c>
      <c r="L6" s="14" t="n">
        <f aca="false">F7</f>
        <v>0.02768826</v>
      </c>
      <c r="M6" s="14" t="n">
        <f aca="false">G7</f>
        <v>-3.25734E-005</v>
      </c>
      <c r="N6" s="2" t="n">
        <f aca="false">350+273.15</f>
        <v>623.15</v>
      </c>
      <c r="O6" s="2" t="n">
        <f aca="false">$K6+$L6*N6+$M6*N6^2</f>
        <v>-1083.88883065096</v>
      </c>
      <c r="P6" s="1" t="n">
        <f aca="false">302+273.15</f>
        <v>575.15</v>
      </c>
      <c r="Q6" s="2" t="n">
        <f aca="false">$K6+$L6*P6+$M6*P6^2</f>
        <v>-1083.3442972804</v>
      </c>
    </row>
    <row r="7" customFormat="false" ht="12.8" hidden="false" customHeight="false" outlineLevel="0" collapsed="false">
      <c r="A7" s="15" t="s">
        <v>89</v>
      </c>
      <c r="B7" s="15"/>
      <c r="C7" s="15"/>
      <c r="D7" s="2"/>
      <c r="E7" s="2" t="n">
        <f aca="false">C22+2*C19+C29-C26</f>
        <v>-1088.494</v>
      </c>
      <c r="F7" s="14" t="n">
        <f aca="false">D22+2*D19+D29-D26</f>
        <v>0.02768826</v>
      </c>
      <c r="G7" s="14" t="n">
        <f aca="false">E22+2*E19+E29-E26</f>
        <v>-3.25734E-005</v>
      </c>
      <c r="H7" s="1" t="s">
        <v>90</v>
      </c>
      <c r="J7" s="1" t="str">
        <f aca="false">H8</f>
        <v>co2</v>
      </c>
      <c r="K7" s="1" t="n">
        <f aca="false">E8+E10</f>
        <v>-4729.49</v>
      </c>
      <c r="L7" s="1" t="n">
        <f aca="false">F8+F10</f>
        <v>0.08384504</v>
      </c>
      <c r="M7" s="1" t="n">
        <f aca="false">G8+G10</f>
        <v>-8.12448E-005</v>
      </c>
      <c r="N7" s="2" t="n">
        <f aca="false">350+273.15</f>
        <v>623.15</v>
      </c>
      <c r="O7" s="2" t="n">
        <f aca="false">$K7+$L7*N7+$M7*N7^2</f>
        <v>-4708.79061278433</v>
      </c>
      <c r="P7" s="1" t="n">
        <f aca="false">302+273.15</f>
        <v>575.15</v>
      </c>
      <c r="Q7" s="2" t="n">
        <f aca="false">$K7+$L7*P7+$M7*P7^2</f>
        <v>-4708.14210380001</v>
      </c>
    </row>
    <row r="8" customFormat="false" ht="12.8" hidden="false" customHeight="false" outlineLevel="0" collapsed="false">
      <c r="A8" s="13" t="s">
        <v>91</v>
      </c>
      <c r="B8" s="13"/>
      <c r="C8" s="13"/>
      <c r="D8" s="2"/>
      <c r="E8" s="2" t="n">
        <f aca="false">4*C19+4*C29-C31</f>
        <v>-2531.454</v>
      </c>
      <c r="F8" s="14" t="n">
        <f aca="false">4*D19+4*D29-D31</f>
        <v>0.03320252</v>
      </c>
      <c r="G8" s="14" t="n">
        <f aca="false">4*E19+4*E29-E31</f>
        <v>-3.11346E-005</v>
      </c>
      <c r="H8" s="1" t="s">
        <v>92</v>
      </c>
      <c r="J8" s="1" t="str">
        <f aca="false">H9</f>
        <v>co</v>
      </c>
      <c r="K8" s="1" t="n">
        <f aca="false">E9+E11</f>
        <v>-3604.562</v>
      </c>
      <c r="L8" s="1" t="n">
        <f aca="false">F9+F11</f>
        <v>0.11571732</v>
      </c>
      <c r="M8" s="1" t="n">
        <f aca="false">G9+G11</f>
        <v>-0.0001078368</v>
      </c>
      <c r="N8" s="2" t="n">
        <f aca="false">350+273.15</f>
        <v>623.15</v>
      </c>
      <c r="O8" s="2" t="n">
        <f aca="false">$K8+$L8*N8+$M8*N8^2</f>
        <v>-3574.32749851345</v>
      </c>
      <c r="P8" s="1" t="n">
        <f aca="false">302+273.15</f>
        <v>575.15</v>
      </c>
      <c r="Q8" s="2" t="n">
        <f aca="false">$K8+$L8*P8+$M8*P8^2</f>
        <v>-3573.67932967633</v>
      </c>
    </row>
    <row r="9" customFormat="false" ht="12.8" hidden="false" customHeight="false" outlineLevel="0" collapsed="false">
      <c r="A9" s="13" t="s">
        <v>93</v>
      </c>
      <c r="B9" s="13"/>
      <c r="C9" s="13"/>
      <c r="D9" s="2"/>
      <c r="E9" s="2" t="n">
        <f aca="false">4*C18+4*C29-C31</f>
        <v>-1406.526</v>
      </c>
      <c r="F9" s="14" t="n">
        <f aca="false">4*D18+4*D29-D31</f>
        <v>0.0650748</v>
      </c>
      <c r="G9" s="14" t="n">
        <f aca="false">4*E18+4*E29-E31</f>
        <v>-5.77266E-005</v>
      </c>
      <c r="H9" s="1" t="s">
        <v>94</v>
      </c>
      <c r="J9" s="1" t="str">
        <f aca="false">H12</f>
        <v>mac</v>
      </c>
      <c r="K9" s="2" t="n">
        <f aca="false">E12</f>
        <v>-333.418</v>
      </c>
      <c r="L9" s="14" t="n">
        <f aca="false">F12</f>
        <v>-0.01744</v>
      </c>
      <c r="M9" s="14" t="n">
        <f aca="false">G12</f>
        <v>1.89756E-005</v>
      </c>
      <c r="N9" s="2" t="n">
        <f aca="false">350+273.15</f>
        <v>623.15</v>
      </c>
      <c r="O9" s="2" t="n">
        <f aca="false">$K9+$L9*N9+$M9*N9^2</f>
        <v>-336.917208381009</v>
      </c>
      <c r="P9" s="1" t="n">
        <f aca="false">302+273.15</f>
        <v>575.15</v>
      </c>
      <c r="Q9" s="2" t="n">
        <f aca="false">$K9+$L9*P9+$M9*P9^2</f>
        <v>-337.171534532049</v>
      </c>
    </row>
    <row r="10" customFormat="false" ht="12.8" hidden="false" customHeight="false" outlineLevel="0" collapsed="false">
      <c r="A10" s="13" t="s">
        <v>95</v>
      </c>
      <c r="B10" s="13"/>
      <c r="C10" s="13"/>
      <c r="D10" s="2"/>
      <c r="E10" s="2" t="n">
        <f aca="false">4*C19+3*C29-C26</f>
        <v>-2198.036</v>
      </c>
      <c r="F10" s="14" t="n">
        <f aca="false">4*D19+3*D29-D26</f>
        <v>0.05064252</v>
      </c>
      <c r="G10" s="14" t="n">
        <f aca="false">4*E19+3*E29-E26</f>
        <v>-5.01102E-005</v>
      </c>
      <c r="H10" s="1" t="s">
        <v>92</v>
      </c>
      <c r="J10" s="1" t="str">
        <f aca="false">H13</f>
        <v>maa</v>
      </c>
      <c r="K10" s="2" t="n">
        <f aca="false">E13</f>
        <v>-339.158</v>
      </c>
      <c r="L10" s="14" t="n">
        <f aca="false">F13</f>
        <v>0.0393343889</v>
      </c>
      <c r="M10" s="14" t="n">
        <f aca="false">G13</f>
        <v>0.000294540922</v>
      </c>
      <c r="N10" s="2" t="n">
        <f aca="false">350+273.15</f>
        <v>623.15</v>
      </c>
      <c r="O10" s="2" t="n">
        <f aca="false">$K10+$L10*N10+$M10*N10^2</f>
        <v>-200.271845716534</v>
      </c>
      <c r="P10" s="1" t="n">
        <f aca="false">302+273.15</f>
        <v>575.15</v>
      </c>
      <c r="Q10" s="2" t="n">
        <f aca="false">$K10+$L10*P10+$M10*P10^2</f>
        <v>-219.101418951699</v>
      </c>
    </row>
    <row r="11" customFormat="false" ht="12.8" hidden="false" customHeight="false" outlineLevel="0" collapsed="false">
      <c r="A11" s="13" t="s">
        <v>96</v>
      </c>
      <c r="B11" s="13"/>
      <c r="C11" s="13"/>
      <c r="D11" s="2"/>
      <c r="E11" s="2" t="n">
        <f aca="false">4*C19+3*C29-C26</f>
        <v>-2198.036</v>
      </c>
      <c r="F11" s="14" t="n">
        <f aca="false">4*D19+3*D29-D26</f>
        <v>0.05064252</v>
      </c>
      <c r="G11" s="14" t="n">
        <f aca="false">4*E19+3*E29-E26</f>
        <v>-5.01102E-005</v>
      </c>
      <c r="H11" s="1" t="s">
        <v>94</v>
      </c>
      <c r="J11" s="1" t="s">
        <v>97</v>
      </c>
      <c r="K11" s="1" t="n">
        <f aca="false">-(E14+E15)</f>
        <v>763.09</v>
      </c>
      <c r="L11" s="1" t="n">
        <f aca="false">-(F14+F15)</f>
        <v>-0.03005833</v>
      </c>
      <c r="M11" s="1" t="n">
        <f aca="false">-(G14+G15)</f>
        <v>1.96452E-005</v>
      </c>
      <c r="N11" s="2" t="n">
        <f aca="false">350+273.15</f>
        <v>623.15</v>
      </c>
      <c r="O11" s="2" t="n">
        <f aca="false">$K11+$L11*N11+$M11*N11^2</f>
        <v>751.987695621197</v>
      </c>
      <c r="P11" s="1" t="n">
        <f aca="false">302+273.15</f>
        <v>575.15</v>
      </c>
      <c r="Q11" s="2" t="n">
        <f aca="false">$K11+$L11*P11+$M11*P11^2</f>
        <v>752.300534989517</v>
      </c>
    </row>
    <row r="12" customFormat="false" ht="12.8" hidden="false" customHeight="false" outlineLevel="0" collapsed="false">
      <c r="A12" s="16" t="s">
        <v>98</v>
      </c>
      <c r="B12" s="16"/>
      <c r="C12" s="16"/>
      <c r="D12" s="17"/>
      <c r="E12" s="17" t="n">
        <f aca="false">C26+C29-C31</f>
        <v>-333.418</v>
      </c>
      <c r="F12" s="18" t="n">
        <f aca="false">D26+D29-D31</f>
        <v>-0.01744</v>
      </c>
      <c r="G12" s="18" t="n">
        <f aca="false">E26+E29-E31</f>
        <v>1.89756E-005</v>
      </c>
      <c r="H12" s="1" t="s">
        <v>99</v>
      </c>
    </row>
    <row r="13" customFormat="false" ht="12.8" hidden="false" customHeight="false" outlineLevel="0" collapsed="false">
      <c r="A13" s="16" t="s">
        <v>100</v>
      </c>
      <c r="B13" s="16"/>
      <c r="C13" s="16"/>
      <c r="D13" s="17"/>
      <c r="E13" s="17" t="n">
        <f aca="false">C27-C26</f>
        <v>-339.158</v>
      </c>
      <c r="F13" s="18" t="n">
        <f aca="false">D27-D26</f>
        <v>0.0393343889</v>
      </c>
      <c r="G13" s="18" t="n">
        <f aca="false">E27-E26</f>
        <v>0.000294540922</v>
      </c>
      <c r="H13" s="1" t="s">
        <v>101</v>
      </c>
    </row>
    <row r="14" customFormat="false" ht="12.8" hidden="false" customHeight="false" outlineLevel="0" collapsed="false">
      <c r="A14" s="13" t="s">
        <v>102</v>
      </c>
      <c r="B14" s="13"/>
      <c r="C14" s="13"/>
      <c r="D14" s="2"/>
      <c r="E14" s="2" t="n">
        <f aca="false">C19+C29-C20</f>
        <v>-522.161</v>
      </c>
      <c r="F14" s="14" t="n">
        <f aca="false">D19+D29-D20</f>
        <v>0.01104513</v>
      </c>
      <c r="G14" s="14" t="n">
        <f aca="false">E19+E29-E20</f>
        <v>-6.4986E-006</v>
      </c>
      <c r="H14" s="1" t="s">
        <v>103</v>
      </c>
    </row>
    <row r="15" customFormat="false" ht="12.8" hidden="false" customHeight="false" outlineLevel="0" collapsed="false">
      <c r="A15" s="13" t="s">
        <v>104</v>
      </c>
      <c r="B15" s="13"/>
      <c r="C15" s="13"/>
      <c r="D15" s="2"/>
      <c r="E15" s="2" t="n">
        <f aca="false">C18+C29-C20</f>
        <v>-240.929</v>
      </c>
      <c r="F15" s="14" t="n">
        <f aca="false">D18+D29-D20</f>
        <v>0.0190132</v>
      </c>
      <c r="G15" s="14" t="n">
        <f aca="false">E18+E29-E20</f>
        <v>-1.31466E-005</v>
      </c>
      <c r="H15" s="1" t="s">
        <v>103</v>
      </c>
    </row>
    <row r="17" customFormat="false" ht="15" hidden="false" customHeight="false" outlineLevel="0" collapsed="false">
      <c r="B17" s="19" t="s">
        <v>105</v>
      </c>
      <c r="C17" s="19" t="s">
        <v>73</v>
      </c>
      <c r="D17" s="19" t="s">
        <v>74</v>
      </c>
      <c r="E17" s="19" t="s">
        <v>75</v>
      </c>
      <c r="F17" s="1" t="s">
        <v>106</v>
      </c>
      <c r="G17" s="1" t="n">
        <v>298</v>
      </c>
      <c r="H17" s="2" t="n">
        <f aca="false">N2</f>
        <v>623.15</v>
      </c>
      <c r="I17" s="1"/>
      <c r="J17" s="1"/>
      <c r="N17" s="1" t="s">
        <v>107</v>
      </c>
      <c r="Q17" s="20" t="s">
        <v>108</v>
      </c>
      <c r="R17" s="20" t="s">
        <v>109</v>
      </c>
      <c r="S17" s="21" t="s">
        <v>110</v>
      </c>
    </row>
    <row r="18" customFormat="false" ht="15" hidden="false" customHeight="false" outlineLevel="0" collapsed="false">
      <c r="B18" s="19" t="s">
        <v>23</v>
      </c>
      <c r="C18" s="1" t="n">
        <v>-112.19</v>
      </c>
      <c r="D18" s="14" t="n">
        <v>0.0081182</v>
      </c>
      <c r="E18" s="14" t="n">
        <v>-8.0425E-006</v>
      </c>
      <c r="G18" s="14" t="n">
        <f aca="false">$G$17*C18+$G$17^2*D18/2+$G$17^3*E18/3</f>
        <v>-33143.1001631533</v>
      </c>
      <c r="H18" s="2"/>
      <c r="J18" s="2"/>
      <c r="K18" s="1" t="s">
        <v>82</v>
      </c>
      <c r="N18" s="1" t="s">
        <v>73</v>
      </c>
      <c r="O18" s="1" t="s">
        <v>74</v>
      </c>
      <c r="P18" s="1" t="s">
        <v>75</v>
      </c>
      <c r="Q18" s="20" t="n">
        <v>1</v>
      </c>
      <c r="R18" s="20" t="n">
        <v>-344.31</v>
      </c>
      <c r="S18" s="22" t="n">
        <f aca="false">O9</f>
        <v>-336.917208381009</v>
      </c>
    </row>
    <row r="19" customFormat="false" ht="15" hidden="false" customHeight="false" outlineLevel="0" collapsed="false">
      <c r="B19" s="19" t="s">
        <v>34</v>
      </c>
      <c r="C19" s="1" t="n">
        <v>-393.422</v>
      </c>
      <c r="D19" s="14" t="n">
        <v>0.00015013</v>
      </c>
      <c r="E19" s="14" t="n">
        <v>-1.3945E-006</v>
      </c>
      <c r="G19" s="14" t="n">
        <f aca="false">$G$17*C19+$G$17^2*D19/2+$G$17^3*E19/3</f>
        <v>-117245.391087421</v>
      </c>
      <c r="H19" s="2"/>
      <c r="J19" s="2"/>
      <c r="K19" s="1" t="s">
        <v>83</v>
      </c>
      <c r="N19" s="1" t="n">
        <f aca="false">C26+C29-C31</f>
        <v>-333.418</v>
      </c>
      <c r="O19" s="1" t="n">
        <f aca="false">D26+D29-D31</f>
        <v>-0.01744</v>
      </c>
      <c r="P19" s="1" t="n">
        <f aca="false">E26+E29-E31</f>
        <v>1.89756E-005</v>
      </c>
      <c r="Q19" s="20" t="n">
        <v>2</v>
      </c>
      <c r="R19" s="20" t="n">
        <v>-230.12</v>
      </c>
      <c r="S19" s="22" t="n">
        <f aca="false">O10</f>
        <v>-200.271845716534</v>
      </c>
    </row>
    <row r="20" customFormat="false" ht="15" hidden="false" customHeight="false" outlineLevel="0" collapsed="false">
      <c r="B20" s="19" t="s">
        <v>111</v>
      </c>
      <c r="C20" s="1" t="n">
        <v>-109.671</v>
      </c>
      <c r="D20" s="14" t="n">
        <v>-0.023151</v>
      </c>
      <c r="E20" s="14" t="n">
        <v>7.8697E-006</v>
      </c>
      <c r="G20" s="14" t="n">
        <f aca="false">$G$17*C20+$G$17^2*D20/2+$G$17^3*E20/3</f>
        <v>-33640.4885253459</v>
      </c>
      <c r="H20" s="2"/>
      <c r="J20" s="2"/>
      <c r="K20" s="1" t="s">
        <v>84</v>
      </c>
      <c r="Q20" s="20" t="n">
        <v>3</v>
      </c>
      <c r="R20" s="20" t="n">
        <v>-75.06</v>
      </c>
      <c r="S20" s="21" t="n">
        <v>-112.2</v>
      </c>
    </row>
    <row r="21" customFormat="false" ht="12.8" hidden="false" customHeight="false" outlineLevel="0" collapsed="false">
      <c r="B21" s="19" t="s">
        <v>60</v>
      </c>
      <c r="C21" s="1" t="n">
        <v>-422.584</v>
      </c>
      <c r="D21" s="14" t="n">
        <v>-4.8354</v>
      </c>
      <c r="E21" s="14" t="n">
        <v>2.337E-005</v>
      </c>
      <c r="G21" s="14" t="n">
        <f aca="false">$G$17*C21+$G$17^2*D21/2+$G$17^3*E21/3</f>
        <v>-340425.31141832</v>
      </c>
      <c r="H21" s="2"/>
      <c r="J21" s="2"/>
      <c r="K21" s="1" t="s">
        <v>86</v>
      </c>
      <c r="N21" s="1" t="s">
        <v>112</v>
      </c>
    </row>
    <row r="22" customFormat="false" ht="12.8" hidden="false" customHeight="false" outlineLevel="0" collapsed="false">
      <c r="B22" s="19" t="s">
        <v>113</v>
      </c>
      <c r="C22" s="1" t="n">
        <v>-154.122</v>
      </c>
      <c r="D22" s="14" t="n">
        <v>-0.047166</v>
      </c>
      <c r="E22" s="14" t="n">
        <v>2.0279E-005</v>
      </c>
      <c r="G22" s="14" t="n">
        <f aca="false">$G$17*C22+$G$17^2*D22/2+$G$17^3*E22/3</f>
        <v>-47843.7356712774</v>
      </c>
      <c r="H22" s="2"/>
      <c r="J22" s="2"/>
      <c r="K22" s="1" t="s">
        <v>88</v>
      </c>
      <c r="N22" s="1" t="n">
        <f aca="false">F27-F26</f>
        <v>-255.880046516</v>
      </c>
    </row>
    <row r="23" customFormat="false" ht="12.8" hidden="false" customHeight="false" outlineLevel="0" collapsed="false">
      <c r="B23" s="19" t="s">
        <v>114</v>
      </c>
      <c r="C23" s="1" t="n">
        <v>-66.702</v>
      </c>
      <c r="D23" s="14" t="n">
        <v>-0.059478</v>
      </c>
      <c r="E23" s="14" t="n">
        <v>3.8716E-005</v>
      </c>
      <c r="G23" s="14" t="n">
        <f aca="false">$G$17*C23+$G$17^2*D23/2+$G$17^3*E23/3</f>
        <v>-22176.6166800427</v>
      </c>
      <c r="H23" s="2"/>
      <c r="J23" s="2"/>
      <c r="K23" s="1" t="s">
        <v>89</v>
      </c>
    </row>
    <row r="24" customFormat="false" ht="12.8" hidden="false" customHeight="false" outlineLevel="0" collapsed="false">
      <c r="B24" s="19" t="s">
        <v>115</v>
      </c>
      <c r="C24" s="1" t="n">
        <v>-325.038</v>
      </c>
      <c r="D24" s="14" t="n">
        <v>-0.044058</v>
      </c>
      <c r="E24" s="14" t="n">
        <v>2.0926E-005</v>
      </c>
      <c r="G24" s="14" t="n">
        <f aca="false">$G$17*C24+$G$17^2*D24/2+$G$17^3*E24/3</f>
        <v>-98632.9949406027</v>
      </c>
      <c r="H24" s="2"/>
      <c r="J24" s="2"/>
      <c r="K24" s="1" t="s">
        <v>91</v>
      </c>
    </row>
    <row r="25" customFormat="false" ht="12.8" hidden="false" customHeight="false" outlineLevel="0" collapsed="false">
      <c r="B25" s="19" t="s">
        <v>55</v>
      </c>
      <c r="C25" s="1" t="n">
        <v>-199.175</v>
      </c>
      <c r="D25" s="14" t="n">
        <v>-0.071484</v>
      </c>
      <c r="E25" s="14" t="n">
        <v>3.2534E-005</v>
      </c>
      <c r="G25" s="14" t="n">
        <f aca="false">$G$17*C25+$G$17^2*D25/2+$G$17^3*E25/3</f>
        <v>-62241.1937339573</v>
      </c>
      <c r="H25" s="2"/>
      <c r="J25" s="2"/>
      <c r="K25" s="1" t="s">
        <v>93</v>
      </c>
    </row>
    <row r="26" customFormat="false" ht="12.8" hidden="false" customHeight="false" outlineLevel="0" collapsed="false">
      <c r="B26" s="19" t="s">
        <v>116</v>
      </c>
      <c r="C26" s="1" t="n">
        <v>-90.882</v>
      </c>
      <c r="D26" s="14" t="n">
        <v>-0.08681</v>
      </c>
      <c r="E26" s="14" t="n">
        <v>5.2829E-005</v>
      </c>
      <c r="F26" s="1" t="n">
        <f aca="false">C26+D26*298+E26*298^2</f>
        <v>-112.059953484</v>
      </c>
      <c r="G26" s="14" t="n">
        <f aca="false">$G$17*C26+$G$17^2*D26/2+$G$17^3*E26/3</f>
        <v>-30471.3585860773</v>
      </c>
      <c r="H26" s="2"/>
      <c r="J26" s="2"/>
      <c r="K26" s="1" t="s">
        <v>95</v>
      </c>
    </row>
    <row r="27" customFormat="false" ht="12.8" hidden="false" customHeight="false" outlineLevel="0" collapsed="false">
      <c r="B27" s="19" t="s">
        <v>117</v>
      </c>
      <c r="C27" s="1" t="n">
        <f aca="false">-430.04</f>
        <v>-430.04</v>
      </c>
      <c r="D27" s="14" t="n">
        <v>-0.0474756111</v>
      </c>
      <c r="E27" s="14" t="n">
        <v>0.000347369922</v>
      </c>
      <c r="F27" s="1" t="n">
        <f aca="false">-367.94</f>
        <v>-367.94</v>
      </c>
      <c r="G27" s="14" t="n">
        <f aca="false">$G$17*C27+$G$17^2*D27/2+$G$17^3*E27/3</f>
        <v>-127195.713454436</v>
      </c>
      <c r="H27" s="2"/>
      <c r="J27" s="2"/>
      <c r="K27" s="1" t="s">
        <v>96</v>
      </c>
    </row>
    <row r="28" customFormat="false" ht="12.8" hidden="false" customHeight="false" outlineLevel="0" collapsed="false">
      <c r="B28" s="19" t="s">
        <v>118</v>
      </c>
      <c r="C28" s="1" t="n">
        <v>-688.693</v>
      </c>
      <c r="D28" s="14" t="n">
        <v>-0.11323</v>
      </c>
      <c r="E28" s="14" t="n">
        <v>4.9298E-005</v>
      </c>
      <c r="G28" s="14" t="n">
        <f aca="false">$G$17*C28+$G$17^2*D28/2+$G$17^3*E28/3</f>
        <v>-209823.285073861</v>
      </c>
      <c r="H28" s="1"/>
      <c r="J28" s="2"/>
      <c r="K28" s="23" t="s">
        <v>98</v>
      </c>
    </row>
    <row r="29" customFormat="false" ht="12.8" hidden="false" customHeight="false" outlineLevel="0" collapsed="false">
      <c r="B29" s="19" t="s">
        <v>64</v>
      </c>
      <c r="C29" s="1" t="n">
        <v>-238.41</v>
      </c>
      <c r="D29" s="14" t="n">
        <v>-0.012256</v>
      </c>
      <c r="E29" s="14" t="n">
        <v>2.7656E-006</v>
      </c>
      <c r="G29" s="14" t="n">
        <f aca="false">$G$17*C29+$G$17^2*D29/2+$G$17^3*E29/3</f>
        <v>-71565.9750086549</v>
      </c>
      <c r="H29" s="2"/>
      <c r="J29" s="2"/>
      <c r="K29" s="23" t="s">
        <v>100</v>
      </c>
    </row>
    <row r="30" customFormat="false" ht="12.8" hidden="false" customHeight="false" outlineLevel="0" collapsed="false">
      <c r="B30" s="19" t="s">
        <v>119</v>
      </c>
      <c r="C30" s="1" t="n">
        <v>-38.88</v>
      </c>
      <c r="D30" s="14" t="n">
        <v>-0.054041</v>
      </c>
      <c r="E30" s="14" t="n">
        <v>2.5601E-005</v>
      </c>
      <c r="G30" s="14" t="n">
        <f aca="false">$G$17*C30+$G$17^2*D30/2+$G$17^3*E30/3</f>
        <v>-13759.9370090693</v>
      </c>
      <c r="H30" s="2"/>
      <c r="J30" s="2"/>
      <c r="K30" s="1" t="s">
        <v>102</v>
      </c>
    </row>
    <row r="31" customFormat="false" ht="12.8" hidden="false" customHeight="false" outlineLevel="0" collapsed="false">
      <c r="B31" s="19" t="s">
        <v>120</v>
      </c>
      <c r="C31" s="1" t="n">
        <v>4.126</v>
      </c>
      <c r="D31" s="14" t="n">
        <v>-0.081626</v>
      </c>
      <c r="E31" s="14" t="n">
        <f aca="false">0.000036619</f>
        <v>3.6619E-005</v>
      </c>
      <c r="G31" s="14" t="n">
        <f aca="false">$G$17*C31+$G$17^2*D31/2+$G$17^3*E31/3</f>
        <v>-2071.78622685067</v>
      </c>
      <c r="H31" s="2" t="n">
        <f aca="false">C31+D31*H17+E31*H17^2</f>
        <v>-32.5195011339725</v>
      </c>
      <c r="J31" s="2"/>
      <c r="K31" s="1" t="s">
        <v>104</v>
      </c>
    </row>
  </sheetData>
  <mergeCells count="14">
    <mergeCell ref="A2:C2"/>
    <mergeCell ref="A3:C3"/>
    <mergeCell ref="A4:C4"/>
    <mergeCell ref="A5:C5"/>
    <mergeCell ref="A6:C6"/>
    <mergeCell ref="A7:C7"/>
    <mergeCell ref="A8:C8"/>
    <mergeCell ref="A9:C9"/>
    <mergeCell ref="A10:C10"/>
    <mergeCell ref="A11:C11"/>
    <mergeCell ref="A12:C12"/>
    <mergeCell ref="A13:C13"/>
    <mergeCell ref="A14:C14"/>
    <mergeCell ref="A15:C15"/>
  </mergeCell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9"/>
  <sheetViews>
    <sheetView showFormulas="false" showGridLines="true" showRowColHeaders="true" showZeros="true" rightToLeft="false" tabSelected="false" showOutlineSymbols="true" defaultGridColor="true" view="normal" topLeftCell="AA23" colorId="64" zoomScale="103" zoomScaleNormal="103" zoomScalePageLayoutView="100" workbookViewId="0">
      <selection pane="topLeft" activeCell="AJ26" activeCellId="1" sqref="B17:E31 AJ26"/>
    </sheetView>
  </sheetViews>
  <sheetFormatPr defaultColWidth="11.53515625" defaultRowHeight="15" zeroHeight="false" outlineLevelRow="0" outlineLevelCol="0"/>
  <cols>
    <col collapsed="false" customWidth="false" hidden="false" outlineLevel="0" max="2" min="1" style="24" width="11.53"/>
    <col collapsed="false" customWidth="true" hidden="false" outlineLevel="0" max="3" min="3" style="24" width="19.93"/>
    <col collapsed="false" customWidth="false" hidden="false" outlineLevel="0" max="7" min="4" style="24" width="11.53"/>
    <col collapsed="false" customWidth="true" hidden="false" outlineLevel="0" max="8" min="8" style="24" width="10.77"/>
    <col collapsed="false" customWidth="false" hidden="false" outlineLevel="0" max="10" min="9" style="24" width="11.53"/>
    <col collapsed="false" customWidth="true" hidden="false" outlineLevel="0" max="11" min="11" style="24" width="23.65"/>
    <col collapsed="false" customWidth="true" hidden="false" outlineLevel="0" max="12" min="12" style="24" width="15.14"/>
    <col collapsed="false" customWidth="true" hidden="false" outlineLevel="0" max="13" min="13" style="24" width="16.72"/>
    <col collapsed="false" customWidth="true" hidden="false" outlineLevel="0" max="14" min="14" style="24" width="16.9"/>
    <col collapsed="false" customWidth="true" hidden="false" outlineLevel="0" max="15" min="15" style="24" width="14.08"/>
    <col collapsed="false" customWidth="true" hidden="false" outlineLevel="0" max="16" min="16" style="24" width="13.91"/>
    <col collapsed="false" customWidth="true" hidden="false" outlineLevel="0" max="17" min="17" style="24" width="18.66"/>
    <col collapsed="false" customWidth="true" hidden="false" outlineLevel="0" max="18" min="18" style="24" width="13.44"/>
    <col collapsed="false" customWidth="true" hidden="false" outlineLevel="0" max="19" min="19" style="24" width="10.73"/>
    <col collapsed="false" customWidth="false" hidden="false" outlineLevel="0" max="25" min="20" style="24" width="11.53"/>
    <col collapsed="false" customWidth="true" hidden="false" outlineLevel="0" max="26" min="26" style="24" width="18.15"/>
    <col collapsed="false" customWidth="true" hidden="false" outlineLevel="0" max="27" min="27" style="24" width="16.24"/>
    <col collapsed="false" customWidth="true" hidden="false" outlineLevel="0" max="28" min="28" style="24" width="16.79"/>
    <col collapsed="false" customWidth="true" hidden="false" outlineLevel="0" max="29" min="29" style="24" width="17.61"/>
    <col collapsed="false" customWidth="true" hidden="false" outlineLevel="0" max="30" min="30" style="24" width="15.59"/>
    <col collapsed="false" customWidth="true" hidden="false" outlineLevel="0" max="31" min="31" style="24" width="16.37"/>
    <col collapsed="false" customWidth="false" hidden="false" outlineLevel="0" max="41" min="32" style="24" width="11.53"/>
    <col collapsed="false" customWidth="true" hidden="false" outlineLevel="0" max="42" min="42" style="24" width="14.76"/>
    <col collapsed="false" customWidth="false" hidden="false" outlineLevel="0" max="44" min="43" style="24" width="11.53"/>
    <col collapsed="false" customWidth="true" hidden="false" outlineLevel="0" max="45" min="45" style="24" width="14.76"/>
    <col collapsed="false" customWidth="false" hidden="false" outlineLevel="0" max="16384" min="46" style="24" width="11.53"/>
  </cols>
  <sheetData>
    <row r="1" customFormat="false" ht="12.8" hidden="false" customHeight="true" outlineLevel="0" collapsed="false">
      <c r="G1" s="25" t="s">
        <v>121</v>
      </c>
      <c r="H1" s="25"/>
      <c r="I1" s="25"/>
      <c r="K1" s="26" t="s">
        <v>122</v>
      </c>
      <c r="L1" s="26"/>
      <c r="M1" s="26"/>
      <c r="N1" s="26"/>
      <c r="O1" s="26"/>
      <c r="P1" s="26"/>
      <c r="Q1" s="26"/>
      <c r="R1" s="26"/>
    </row>
    <row r="2" customFormat="false" ht="15" hidden="false" customHeight="false" outlineLevel="0" collapsed="false">
      <c r="K2" s="26"/>
      <c r="L2" s="26"/>
      <c r="M2" s="26"/>
      <c r="N2" s="26"/>
      <c r="O2" s="26"/>
      <c r="P2" s="26"/>
      <c r="Q2" s="26"/>
      <c r="R2" s="26"/>
    </row>
    <row r="3" customFormat="false" ht="15" hidden="false" customHeight="false" outlineLevel="0" collapsed="false">
      <c r="K3" s="26"/>
      <c r="L3" s="26"/>
      <c r="M3" s="26"/>
      <c r="N3" s="26"/>
      <c r="O3" s="26"/>
      <c r="P3" s="26"/>
      <c r="Q3" s="26"/>
      <c r="R3" s="26"/>
    </row>
    <row r="4" customFormat="false" ht="15" hidden="false" customHeight="false" outlineLevel="0" collapsed="false">
      <c r="U4" s="27"/>
      <c r="W4" s="24" t="s">
        <v>123</v>
      </c>
      <c r="AA4" s="28" t="s">
        <v>11</v>
      </c>
      <c r="AB4" s="28"/>
      <c r="AC4" s="28"/>
      <c r="AD4" s="28"/>
    </row>
    <row r="5" customFormat="false" ht="15" hidden="false" customHeight="false" outlineLevel="0" collapsed="false">
      <c r="K5" s="27"/>
      <c r="L5" s="24" t="str">
        <f aca="false">'stream compositions'!C21</f>
        <v>mol%</v>
      </c>
      <c r="M5" s="24" t="str">
        <f aca="false">'stream compositions'!D21</f>
        <v>kmol/h</v>
      </c>
      <c r="N5" s="24" t="str">
        <f aca="false">'stream compositions'!E21</f>
        <v>mw</v>
      </c>
      <c r="O5" s="24" t="str">
        <f aca="false">'stream compositions'!F21</f>
        <v>kg/h</v>
      </c>
      <c r="P5" s="24" t="s">
        <v>49</v>
      </c>
      <c r="R5" s="27" t="s">
        <v>124</v>
      </c>
      <c r="S5" s="24" t="n">
        <f aca="false">D8-M16</f>
        <v>57.15</v>
      </c>
      <c r="T5" s="27" t="s">
        <v>11</v>
      </c>
      <c r="U5" s="27"/>
      <c r="W5" s="24" t="s">
        <v>125</v>
      </c>
      <c r="X5" s="24" t="s">
        <v>126</v>
      </c>
      <c r="Y5" s="24" t="s">
        <v>127</v>
      </c>
      <c r="Z5" s="27"/>
      <c r="AA5" s="24" t="str">
        <f aca="false">N5</f>
        <v>mw</v>
      </c>
      <c r="AB5" s="24" t="str">
        <f aca="false">O5</f>
        <v>kg/h</v>
      </c>
      <c r="AC5" s="24" t="str">
        <f aca="false">P5</f>
        <v>wt%</v>
      </c>
      <c r="AD5" s="24" t="n">
        <f aca="false">Q5</f>
        <v>0</v>
      </c>
    </row>
    <row r="6" customFormat="false" ht="15" hidden="false" customHeight="false" outlineLevel="0" collapsed="false">
      <c r="B6" s="29"/>
      <c r="C6" s="30" t="str">
        <f aca="false">'stream compositions'!C14</f>
        <v>mol%</v>
      </c>
      <c r="D6" s="30" t="str">
        <f aca="false">'stream compositions'!D14</f>
        <v>kmol/h</v>
      </c>
      <c r="E6" s="30" t="str">
        <f aca="false">'stream compositions'!E14</f>
        <v>mw</v>
      </c>
      <c r="F6" s="30" t="str">
        <f aca="false">'stream compositions'!F14</f>
        <v>kg/h</v>
      </c>
      <c r="G6" s="24" t="s">
        <v>128</v>
      </c>
      <c r="K6" s="24" t="str">
        <f aca="false">'stream compositions'!B22</f>
        <v>IB</v>
      </c>
      <c r="L6" s="24" t="n">
        <f aca="false">M6/$M$21%</f>
        <v>0.0341536798945931</v>
      </c>
      <c r="M6" s="24" t="n">
        <f aca="false">D7*(1-I14)</f>
        <v>0.167</v>
      </c>
      <c r="N6" s="24" t="n">
        <v>56</v>
      </c>
      <c r="O6" s="24" t="n">
        <f aca="false">250/1000000*O21</f>
        <v>3.60663068181818</v>
      </c>
      <c r="P6" s="24" t="n">
        <f aca="false">O6/O21*100</f>
        <v>0.025</v>
      </c>
      <c r="R6" s="27" t="s">
        <v>129</v>
      </c>
      <c r="S6" s="24" t="n">
        <f aca="false">D7-M6</f>
        <v>41.583</v>
      </c>
      <c r="T6" s="27" t="s">
        <v>11</v>
      </c>
      <c r="U6" s="27"/>
      <c r="V6" s="24" t="s">
        <v>75</v>
      </c>
      <c r="W6" s="24" t="n">
        <f aca="false">4*D7</f>
        <v>167</v>
      </c>
      <c r="X6" s="24" t="n">
        <f aca="false">AA21</f>
        <v>12059.0675886127</v>
      </c>
      <c r="Y6" s="24" t="n">
        <f aca="false">W6-X6</f>
        <v>-11892.0675886127</v>
      </c>
      <c r="Z6" s="27" t="s">
        <v>34</v>
      </c>
      <c r="AA6" s="24" t="n">
        <f aca="false">N6*$M6</f>
        <v>9.35200000000001</v>
      </c>
      <c r="AB6" s="24" t="n">
        <f aca="false">O6*$M6</f>
        <v>0.602307323863637</v>
      </c>
      <c r="AC6" s="24" t="n">
        <f aca="false">P6*$M6</f>
        <v>0.004175</v>
      </c>
      <c r="AD6" s="24" t="n">
        <f aca="false">Q6*$M6</f>
        <v>0</v>
      </c>
    </row>
    <row r="7" customFormat="false" ht="15" hidden="false" customHeight="false" outlineLevel="0" collapsed="false">
      <c r="A7" s="27"/>
      <c r="B7" s="30" t="str">
        <f aca="false">'stream compositions'!B15</f>
        <v>IB</v>
      </c>
      <c r="C7" s="24" t="n">
        <f aca="false">'stream compositions'!C15</f>
        <v>8.62745098039216</v>
      </c>
      <c r="D7" s="24" t="n">
        <f aca="false">'stream compositions'!D15</f>
        <v>41.75</v>
      </c>
      <c r="E7" s="24" t="n">
        <f aca="false">'stream compositions'!E15</f>
        <v>56</v>
      </c>
      <c r="F7" s="24" t="n">
        <f aca="false">'stream compositions'!F15</f>
        <v>2338</v>
      </c>
      <c r="G7" s="24" t="n">
        <f aca="false">F7*24</f>
        <v>56112</v>
      </c>
      <c r="K7" s="24" t="str">
        <f aca="false">'stream compositions'!B23</f>
        <v>MAC</v>
      </c>
      <c r="L7" s="24" t="n">
        <f aca="false">M7/$M$21%</f>
        <v>7.04884957290123</v>
      </c>
      <c r="M7" s="24" t="n">
        <f aca="false">D7*I16</f>
        <v>34.4665020667615</v>
      </c>
      <c r="N7" s="24" t="n">
        <v>70</v>
      </c>
      <c r="O7" s="24" t="n">
        <f aca="false">M7*N7</f>
        <v>2412.65514467331</v>
      </c>
      <c r="P7" s="24" t="n">
        <f aca="false">O7/$O$21%</f>
        <v>16.7237468812376</v>
      </c>
      <c r="R7" s="27" t="s">
        <v>130</v>
      </c>
      <c r="S7" s="24" t="n">
        <f aca="false">S5/S6</f>
        <v>1.37435971430633</v>
      </c>
      <c r="T7" s="27"/>
      <c r="U7" s="27"/>
      <c r="V7" s="24" t="s">
        <v>131</v>
      </c>
      <c r="W7" s="24" t="n">
        <f aca="false">8*D7+2*D10</f>
        <v>459.25</v>
      </c>
      <c r="X7" s="24" t="n">
        <f aca="false">AB21</f>
        <v>2560561.58470196</v>
      </c>
      <c r="Y7" s="24" t="n">
        <f aca="false">W7-X7</f>
        <v>-2560102.33470196</v>
      </c>
      <c r="Z7" s="27" t="s">
        <v>132</v>
      </c>
      <c r="AA7" s="24" t="n">
        <f aca="false">N7*$M7</f>
        <v>2412.65514467331</v>
      </c>
      <c r="AB7" s="24" t="n">
        <f aca="false">O7*$M7</f>
        <v>83155.7835302654</v>
      </c>
      <c r="AC7" s="24" t="n">
        <f aca="false">P7*$M7</f>
        <v>576.409056446173</v>
      </c>
      <c r="AD7" s="24" t="n">
        <f aca="false">Q7*$M7</f>
        <v>0</v>
      </c>
    </row>
    <row r="8" customFormat="false" ht="15" hidden="false" customHeight="false" outlineLevel="0" collapsed="false">
      <c r="B8" s="30" t="str">
        <f aca="false">'stream compositions'!B16</f>
        <v>O2</v>
      </c>
      <c r="C8" s="24" t="n">
        <f aca="false">'stream compositions'!C16</f>
        <v>17.2549019607843</v>
      </c>
      <c r="D8" s="24" t="n">
        <f aca="false">'stream compositions'!D16</f>
        <v>83.5</v>
      </c>
      <c r="E8" s="24" t="n">
        <f aca="false">'stream compositions'!E16</f>
        <v>32</v>
      </c>
      <c r="F8" s="24" t="n">
        <f aca="false">'stream compositions'!F16</f>
        <v>2672</v>
      </c>
      <c r="G8" s="24" t="n">
        <f aca="false">F8*24</f>
        <v>64128</v>
      </c>
      <c r="K8" s="24" t="str">
        <f aca="false">'stream compositions'!B24</f>
        <v>CO</v>
      </c>
      <c r="L8" s="24" t="n">
        <f aca="false">M8/$M$21%</f>
        <v>1.0478064377662</v>
      </c>
      <c r="M8" s="24" t="n">
        <v>5.12342083333333</v>
      </c>
      <c r="N8" s="24" t="n">
        <v>28</v>
      </c>
      <c r="O8" s="24" t="n">
        <f aca="false">M8*N8</f>
        <v>143.455783333333</v>
      </c>
      <c r="P8" s="24" t="n">
        <f aca="false">O8/$O$21%</f>
        <v>0.994389195825659</v>
      </c>
      <c r="R8" s="27"/>
      <c r="S8" s="27"/>
      <c r="T8" s="27"/>
      <c r="U8" s="27"/>
      <c r="V8" s="24" t="s">
        <v>133</v>
      </c>
      <c r="W8" s="24" t="n">
        <f aca="false">2*D8+D10</f>
        <v>229.625</v>
      </c>
      <c r="X8" s="24" t="n">
        <f aca="false">AC21</f>
        <v>17748.9865930154</v>
      </c>
      <c r="Y8" s="24" t="n">
        <f aca="false">W8-X8</f>
        <v>-17519.3615930154</v>
      </c>
      <c r="Z8" s="27" t="n">
        <f aca="false">Y7/2</f>
        <v>-1280051.16735098</v>
      </c>
      <c r="AA8" s="24" t="n">
        <f aca="false">N8*$M8</f>
        <v>143.455783333333</v>
      </c>
      <c r="AB8" s="24" t="n">
        <f aca="false">O8*$M8</f>
        <v>734.984348992152</v>
      </c>
      <c r="AC8" s="24" t="n">
        <f aca="false">P8*$M8</f>
        <v>5.09467432233476</v>
      </c>
      <c r="AD8" s="24" t="n">
        <f aca="false">Q8*$M8</f>
        <v>0</v>
      </c>
    </row>
    <row r="9" customFormat="false" ht="15" hidden="false" customHeight="false" outlineLevel="0" collapsed="false">
      <c r="B9" s="30" t="str">
        <f aca="false">'stream compositions'!B17</f>
        <v>N2</v>
      </c>
      <c r="C9" s="24" t="n">
        <f aca="false">'stream compositions'!C17</f>
        <v>61.1764705882353</v>
      </c>
      <c r="D9" s="24" t="n">
        <f aca="false">'stream compositions'!D17</f>
        <v>296.045454545455</v>
      </c>
      <c r="E9" s="24" t="n">
        <f aca="false">'stream compositions'!E17</f>
        <v>28</v>
      </c>
      <c r="F9" s="24" t="n">
        <f aca="false">'stream compositions'!F17</f>
        <v>8289.27272727273</v>
      </c>
      <c r="G9" s="24" t="n">
        <f aca="false">F9*24</f>
        <v>198942.545454546</v>
      </c>
      <c r="K9" s="24" t="str">
        <f aca="false">'stream compositions'!B25</f>
        <v>MAA</v>
      </c>
      <c r="L9" s="24" t="n">
        <f aca="false">M9/$M$21%</f>
        <v>0.297350475582301</v>
      </c>
      <c r="M9" s="24" t="n">
        <v>1.45394375</v>
      </c>
      <c r="N9" s="24" t="n">
        <v>86</v>
      </c>
      <c r="O9" s="24" t="n">
        <f aca="false">M9*N9</f>
        <v>125.0391625</v>
      </c>
      <c r="P9" s="24" t="n">
        <f aca="false">O9/$O$21%</f>
        <v>0.866731123388582</v>
      </c>
      <c r="R9" s="27"/>
      <c r="S9" s="24" t="n">
        <f aca="false">O21/M21</f>
        <v>29.5041221089428</v>
      </c>
      <c r="T9" s="27"/>
      <c r="U9" s="27"/>
      <c r="V9" s="24" t="s">
        <v>134</v>
      </c>
      <c r="W9" s="24" t="n">
        <f aca="false">2*D9</f>
        <v>592.090909090909</v>
      </c>
      <c r="X9" s="24" t="n">
        <f aca="false">AD21</f>
        <v>1.47814109884571</v>
      </c>
      <c r="Y9" s="24" t="n">
        <f aca="false">W9-X9</f>
        <v>590.612767992063</v>
      </c>
      <c r="Z9" s="27"/>
      <c r="AA9" s="24" t="n">
        <f aca="false">N9*$M9</f>
        <v>125.0391625</v>
      </c>
      <c r="AB9" s="24" t="n">
        <f aca="false">O9*$M9</f>
        <v>181.799908822109</v>
      </c>
      <c r="AC9" s="24" t="n">
        <f aca="false">P9*$M9</f>
        <v>1.26017829978131</v>
      </c>
      <c r="AD9" s="24" t="n">
        <f aca="false">Q9*$M9</f>
        <v>0</v>
      </c>
    </row>
    <row r="10" customFormat="false" ht="15" hidden="false" customHeight="false" outlineLevel="0" collapsed="false">
      <c r="B10" s="30" t="str">
        <f aca="false">'stream compositions'!B18</f>
        <v>steam</v>
      </c>
      <c r="C10" s="24" t="n">
        <f aca="false">'stream compositions'!C18</f>
        <v>12.9411764705882</v>
      </c>
      <c r="D10" s="24" t="n">
        <f aca="false">'stream compositions'!D18</f>
        <v>62.625</v>
      </c>
      <c r="E10" s="24" t="n">
        <f aca="false">'stream compositions'!E18</f>
        <v>18</v>
      </c>
      <c r="F10" s="24" t="n">
        <f aca="false">'stream compositions'!F18</f>
        <v>1127.25</v>
      </c>
      <c r="G10" s="24" t="n">
        <f aca="false">F10*24</f>
        <v>27054</v>
      </c>
      <c r="K10" s="24" t="str">
        <f aca="false">'stream compositions'!B26</f>
        <v>Acetic ac</v>
      </c>
      <c r="L10" s="24" t="n">
        <f aca="false">M10/$M$21%</f>
        <v>0.297350475582301</v>
      </c>
      <c r="M10" s="24" t="n">
        <v>1.45394375</v>
      </c>
      <c r="N10" s="24" t="n">
        <v>60</v>
      </c>
      <c r="O10" s="24" t="n">
        <f aca="false">M10*N10</f>
        <v>87.236625</v>
      </c>
      <c r="P10" s="24" t="n">
        <f aca="false">O10/$O$21%</f>
        <v>0.604696132596685</v>
      </c>
      <c r="R10" s="27"/>
      <c r="S10" s="27"/>
      <c r="T10" s="27"/>
      <c r="U10" s="27"/>
      <c r="Z10" s="27"/>
      <c r="AA10" s="24" t="n">
        <f aca="false">N10*$M10</f>
        <v>87.236625</v>
      </c>
      <c r="AB10" s="24" t="n">
        <f aca="false">O10*$M10</f>
        <v>126.837145689844</v>
      </c>
      <c r="AC10" s="24" t="n">
        <f aca="false">P10*$M10</f>
        <v>0.879194162638122</v>
      </c>
      <c r="AD10" s="24" t="n">
        <f aca="false">Q10*$M10</f>
        <v>0</v>
      </c>
    </row>
    <row r="11" customFormat="false" ht="15" hidden="false" customHeight="false" outlineLevel="0" collapsed="false">
      <c r="B11" s="30" t="s">
        <v>17</v>
      </c>
      <c r="C11" s="24" t="n">
        <f aca="false">'stream compositions'!C19</f>
        <v>0</v>
      </c>
      <c r="D11" s="24" t="n">
        <f aca="false">SUM(D7:D10)</f>
        <v>483.920454545455</v>
      </c>
      <c r="F11" s="24" t="n">
        <f aca="false">'stream compositions'!F19</f>
        <v>14426.5227272727</v>
      </c>
      <c r="K11" s="24" t="str">
        <f aca="false">'stream compositions'!B27</f>
        <v>acetone</v>
      </c>
      <c r="L11" s="24" t="n">
        <f aca="false">M11/$M$21%</f>
        <v>0.169914557475601</v>
      </c>
      <c r="M11" s="24" t="n">
        <v>0.830825</v>
      </c>
      <c r="N11" s="24" t="n">
        <v>58</v>
      </c>
      <c r="O11" s="24" t="n">
        <f aca="false">M11*N11</f>
        <v>48.18785</v>
      </c>
      <c r="P11" s="24" t="n">
        <f aca="false">O11/$O$21%</f>
        <v>0.334022625624836</v>
      </c>
      <c r="R11" s="27"/>
      <c r="S11" s="27"/>
      <c r="T11" s="27"/>
      <c r="Y11" s="27"/>
      <c r="Z11" s="27"/>
      <c r="AA11" s="24" t="n">
        <f aca="false">N11*$M11</f>
        <v>48.18785</v>
      </c>
      <c r="AB11" s="24" t="n">
        <f aca="false">O11*$M11</f>
        <v>40.03567047625</v>
      </c>
      <c r="AC11" s="24" t="n">
        <f aca="false">P11*$M11</f>
        <v>0.277514347934754</v>
      </c>
      <c r="AD11" s="24" t="n">
        <f aca="false">Q11*$M11</f>
        <v>0</v>
      </c>
    </row>
    <row r="12" customFormat="false" ht="15" hidden="false" customHeight="false" outlineLevel="0" collapsed="false">
      <c r="D12" s="24" t="n">
        <f aca="false">D11*1000/3600</f>
        <v>134.422348484848</v>
      </c>
      <c r="E12" s="24" t="s">
        <v>135</v>
      </c>
      <c r="G12" s="24" t="n">
        <f aca="false">SUM(G8:G9)</f>
        <v>263070.545454546</v>
      </c>
      <c r="K12" s="24" t="str">
        <f aca="false">'stream compositions'!B28</f>
        <v>acetalde</v>
      </c>
      <c r="L12" s="24" t="n">
        <f aca="false">M12/$M$21%</f>
        <v>0.297350475582301</v>
      </c>
      <c r="M12" s="24" t="n">
        <v>1.45394375</v>
      </c>
      <c r="N12" s="24" t="n">
        <v>44</v>
      </c>
      <c r="O12" s="24" t="n">
        <f aca="false">M12*N12</f>
        <v>63.973525</v>
      </c>
      <c r="P12" s="24" t="n">
        <f aca="false">O12/$O$21%</f>
        <v>0.443443830570903</v>
      </c>
      <c r="R12" s="27"/>
      <c r="S12" s="27"/>
      <c r="T12" s="27"/>
      <c r="Y12" s="27"/>
      <c r="Z12" s="27"/>
      <c r="AA12" s="24" t="n">
        <f aca="false">N12*$M12</f>
        <v>63.973525</v>
      </c>
      <c r="AB12" s="24" t="n">
        <f aca="false">O12*$M12</f>
        <v>93.0139068392188</v>
      </c>
      <c r="AC12" s="24" t="n">
        <f aca="false">P12*$M12</f>
        <v>0.644742385934623</v>
      </c>
      <c r="AD12" s="24" t="n">
        <f aca="false">Q12*$M12</f>
        <v>0</v>
      </c>
    </row>
    <row r="13" customFormat="false" ht="15" hidden="false" customHeight="false" outlineLevel="0" collapsed="false">
      <c r="K13" s="24" t="str">
        <f aca="false">'stream compositions'!B29</f>
        <v>acrolein</v>
      </c>
      <c r="L13" s="24" t="n">
        <f aca="false">M13/$M$21%</f>
        <v>0.0566381858252003</v>
      </c>
      <c r="M13" s="24" t="n">
        <v>0.276941666666667</v>
      </c>
      <c r="N13" s="24" t="n">
        <v>56</v>
      </c>
      <c r="O13" s="24" t="n">
        <f aca="false">M13*N13</f>
        <v>15.5087333333334</v>
      </c>
      <c r="P13" s="24" t="n">
        <f aca="false">O13/$O$21%</f>
        <v>0.107501534683855</v>
      </c>
      <c r="R13" s="27"/>
      <c r="S13" s="27"/>
      <c r="T13" s="27"/>
      <c r="Y13" s="27"/>
      <c r="Z13" s="27"/>
      <c r="AA13" s="24" t="n">
        <f aca="false">N13*$M13</f>
        <v>15.5087333333334</v>
      </c>
      <c r="AB13" s="24" t="n">
        <f aca="false">O13*$M13</f>
        <v>4.29501445722223</v>
      </c>
      <c r="AC13" s="24" t="n">
        <f aca="false">P13*$M13</f>
        <v>0.0297716541845714</v>
      </c>
      <c r="AD13" s="24" t="n">
        <f aca="false">Q13*$M13</f>
        <v>0</v>
      </c>
    </row>
    <row r="14" customFormat="false" ht="15" hidden="false" customHeight="false" outlineLevel="0" collapsed="false">
      <c r="H14" s="24" t="s">
        <v>18</v>
      </c>
      <c r="I14" s="31" t="n">
        <v>0.996</v>
      </c>
      <c r="K14" s="24" t="str">
        <f aca="false">'stream compositions'!B30</f>
        <v>formaldehyde</v>
      </c>
      <c r="L14" s="24" t="n">
        <f aca="false">M14/$M$21%</f>
        <v>0.0424786393689002</v>
      </c>
      <c r="M14" s="24" t="n">
        <v>0.20770625</v>
      </c>
      <c r="N14" s="24" t="n">
        <v>30</v>
      </c>
      <c r="O14" s="24" t="n">
        <f aca="false">M14*N14</f>
        <v>6.2311875</v>
      </c>
      <c r="P14" s="24" t="n">
        <f aca="false">O14/$O$21%</f>
        <v>0.0431925808997632</v>
      </c>
      <c r="Q14" s="24" t="n">
        <f aca="false">D7*I14*(1-I15)</f>
        <v>7.11649793323847</v>
      </c>
      <c r="R14" s="27"/>
      <c r="S14" s="27"/>
      <c r="T14" s="27"/>
      <c r="Y14" s="27"/>
      <c r="Z14" s="27"/>
      <c r="AA14" s="24" t="n">
        <f aca="false">N14*$M14</f>
        <v>6.2311875</v>
      </c>
      <c r="AB14" s="24" t="n">
        <f aca="false">O14*$M14</f>
        <v>1.29425658867188</v>
      </c>
      <c r="AC14" s="24" t="n">
        <f aca="false">P14*$M14</f>
        <v>0.00897136900651145</v>
      </c>
      <c r="AD14" s="24" t="n">
        <f aca="false">Q14*$M14</f>
        <v>1.47814109884571</v>
      </c>
    </row>
    <row r="15" customFormat="false" ht="15" hidden="false" customHeight="false" outlineLevel="0" collapsed="false">
      <c r="H15" s="24" t="s">
        <v>46</v>
      </c>
      <c r="I15" s="24" t="n">
        <f aca="false">I16/I14</f>
        <v>0.828860401288063</v>
      </c>
      <c r="K15" s="24" t="str">
        <f aca="false">'stream compositions'!B31</f>
        <v>acrylic acid</v>
      </c>
      <c r="L15" s="24" t="n">
        <f aca="false">M15/$M$21%</f>
        <v>0.0424786393689002</v>
      </c>
      <c r="M15" s="24" t="n">
        <v>0.20770625</v>
      </c>
      <c r="N15" s="24" t="n">
        <v>72</v>
      </c>
      <c r="O15" s="24" t="n">
        <f aca="false">M15*N15</f>
        <v>14.95485</v>
      </c>
      <c r="P15" s="24" t="n">
        <f aca="false">O15/$O$21%</f>
        <v>0.103662194159432</v>
      </c>
      <c r="R15" s="27"/>
      <c r="S15" s="27"/>
      <c r="T15" s="27"/>
      <c r="Y15" s="27"/>
      <c r="Z15" s="27"/>
      <c r="AA15" s="24" t="n">
        <f aca="false">N15*$M15</f>
        <v>14.95485</v>
      </c>
      <c r="AB15" s="24" t="n">
        <f aca="false">O15*$M15</f>
        <v>3.1062158128125</v>
      </c>
      <c r="AC15" s="24" t="n">
        <f aca="false">P15*$M15</f>
        <v>0.0215312856156275</v>
      </c>
      <c r="AD15" s="24" t="n">
        <f aca="false">Q15*$M15</f>
        <v>0</v>
      </c>
    </row>
    <row r="16" customFormat="false" ht="15" hidden="false" customHeight="false" outlineLevel="0" collapsed="false">
      <c r="H16" s="24" t="s">
        <v>47</v>
      </c>
      <c r="I16" s="31" t="n">
        <v>0.825544959682911</v>
      </c>
      <c r="K16" s="24" t="s">
        <v>15</v>
      </c>
      <c r="L16" s="24" t="n">
        <f aca="false">M16/$M$21%</f>
        <v>5.38891895342831</v>
      </c>
      <c r="M16" s="24" t="n">
        <v>26.35</v>
      </c>
      <c r="N16" s="24" t="n">
        <v>32</v>
      </c>
      <c r="O16" s="24" t="n">
        <f aca="false">M16*N16</f>
        <v>843.2</v>
      </c>
      <c r="P16" s="24" t="n">
        <f aca="false">O16/$O$21%</f>
        <v>5.84479029313118</v>
      </c>
      <c r="R16" s="27"/>
      <c r="S16" s="27"/>
      <c r="T16" s="27"/>
      <c r="Y16" s="27"/>
      <c r="Z16" s="27"/>
      <c r="AA16" s="24" t="n">
        <f aca="false">N16*$M16</f>
        <v>843.2</v>
      </c>
      <c r="AB16" s="24" t="n">
        <f aca="false">O16*$M16</f>
        <v>22218.32</v>
      </c>
      <c r="AC16" s="24" t="n">
        <f aca="false">P16*$M16</f>
        <v>154.010224224007</v>
      </c>
      <c r="AD16" s="24" t="n">
        <f aca="false">Q16*$M16</f>
        <v>0</v>
      </c>
    </row>
    <row r="17" customFormat="false" ht="15" hidden="false" customHeight="false" outlineLevel="0" collapsed="false">
      <c r="K17" s="24" t="s">
        <v>16</v>
      </c>
      <c r="L17" s="24" t="n">
        <f aca="false">M17/$M$21%</f>
        <v>60.5451598131423</v>
      </c>
      <c r="M17" s="24" t="n">
        <f aca="false">D9</f>
        <v>296.045454545455</v>
      </c>
      <c r="N17" s="24" t="n">
        <v>28</v>
      </c>
      <c r="O17" s="24" t="n">
        <f aca="false">M17*N17</f>
        <v>8289.27272727273</v>
      </c>
      <c r="P17" s="24" t="n">
        <f aca="false">O17/$O$21%</f>
        <v>57.4585635359116</v>
      </c>
      <c r="R17" s="27"/>
      <c r="S17" s="27"/>
      <c r="T17" s="27"/>
      <c r="Y17" s="27"/>
      <c r="Z17" s="27"/>
      <c r="AA17" s="24" t="n">
        <f aca="false">N17*$M17</f>
        <v>8289.27272727273</v>
      </c>
      <c r="AB17" s="24" t="n">
        <f aca="false">O17*$M17</f>
        <v>2454001.51239669</v>
      </c>
      <c r="AC17" s="24" t="n">
        <f aca="false">P17*$M17</f>
        <v>17010.3465595178</v>
      </c>
      <c r="AD17" s="24" t="n">
        <f aca="false">Q17*$M17</f>
        <v>0</v>
      </c>
    </row>
    <row r="18" customFormat="false" ht="15" hidden="false" customHeight="false" outlineLevel="0" collapsed="false">
      <c r="K18" s="32" t="str">
        <f aca="false">'stream compositions'!B34</f>
        <v>CO2</v>
      </c>
      <c r="L18" s="24" t="n">
        <f aca="false">M18/$M$21%</f>
        <v>1.5454838536072</v>
      </c>
      <c r="M18" s="24" t="n">
        <f aca="false">'elemental balance for r1'!H34</f>
        <v>7.55689589962051</v>
      </c>
      <c r="N18" s="24" t="n">
        <v>44</v>
      </c>
      <c r="O18" s="24" t="n">
        <f aca="false">M18*N18</f>
        <v>332.503419583303</v>
      </c>
      <c r="P18" s="24" t="n">
        <f aca="false">O18/$O$21%</f>
        <v>2.30480640324171</v>
      </c>
      <c r="R18" s="27"/>
      <c r="S18" s="27"/>
      <c r="T18" s="27"/>
      <c r="Y18" s="27"/>
      <c r="Z18" s="27"/>
    </row>
    <row r="19" customFormat="false" ht="15" hidden="false" customHeight="false" outlineLevel="0" collapsed="false">
      <c r="K19" s="32" t="str">
        <f aca="false">'stream compositions'!B35</f>
        <v>steam</v>
      </c>
      <c r="L19" s="24" t="n">
        <f aca="false">M19/$M$21%</f>
        <v>23.1860662404747</v>
      </c>
      <c r="M19" s="24" t="n">
        <f aca="false">'elemental balance for r1'!I35</f>
        <v>113.372060466382</v>
      </c>
      <c r="N19" s="24" t="n">
        <v>18</v>
      </c>
      <c r="O19" s="24" t="n">
        <f aca="false">M19*N19</f>
        <v>2040.69708839488</v>
      </c>
      <c r="P19" s="24" t="n">
        <f aca="false">O19/$O$21%</f>
        <v>14.145453668728</v>
      </c>
      <c r="Q19" s="24" t="n">
        <f aca="false">M19-D10</f>
        <v>50.7470604663821</v>
      </c>
      <c r="S19" s="27"/>
      <c r="T19" s="27"/>
      <c r="Y19" s="27"/>
      <c r="Z19" s="27"/>
    </row>
    <row r="20" customFormat="false" ht="15" hidden="false" customHeight="false" outlineLevel="0" collapsed="false">
      <c r="K20" s="32" t="s">
        <v>136</v>
      </c>
      <c r="L20" s="24" t="n">
        <f aca="false">M20/$M$21%</f>
        <v>0</v>
      </c>
      <c r="M20" s="24" t="n">
        <f aca="false">'elemental balance for r1'!G45</f>
        <v>0</v>
      </c>
      <c r="N20" s="24" t="n">
        <v>46</v>
      </c>
      <c r="O20" s="24" t="n">
        <f aca="false">M20*N20</f>
        <v>0</v>
      </c>
      <c r="P20" s="24" t="n">
        <f aca="false">O20/$O$21%</f>
        <v>0</v>
      </c>
      <c r="Q20" s="24" t="n">
        <f aca="false">SUM(M8:M15,M18)+Q19</f>
        <v>69.3123876160026</v>
      </c>
      <c r="R20" s="27"/>
      <c r="S20" s="27"/>
      <c r="T20" s="27"/>
      <c r="Y20" s="27"/>
      <c r="Z20" s="27"/>
    </row>
    <row r="21" customFormat="false" ht="15" hidden="false" customHeight="false" outlineLevel="0" collapsed="false">
      <c r="K21" s="24" t="str">
        <f aca="false">'stream compositions'!B36</f>
        <v>total</v>
      </c>
      <c r="L21" s="24" t="n">
        <f aca="false">SUM(L6:L20)</f>
        <v>100</v>
      </c>
      <c r="M21" s="33" t="n">
        <f aca="false">SUM(M6:M20)</f>
        <v>488.966344228219</v>
      </c>
      <c r="O21" s="24" t="n">
        <f aca="false">F11</f>
        <v>14426.5227272727</v>
      </c>
      <c r="P21" s="24" t="n">
        <f aca="false">O21/$O$21%</f>
        <v>100</v>
      </c>
      <c r="R21" s="27"/>
      <c r="S21" s="27"/>
      <c r="T21" s="27"/>
      <c r="Y21" s="27"/>
      <c r="Z21" s="27"/>
      <c r="AA21" s="24" t="n">
        <f aca="false">SUM(AA6:AA19)</f>
        <v>12059.0675886127</v>
      </c>
      <c r="AB21" s="24" t="n">
        <f aca="false">SUM(AB6:AB19)</f>
        <v>2560561.58470196</v>
      </c>
      <c r="AC21" s="24" t="n">
        <f aca="false">SUM(AC6:AC19)</f>
        <v>17748.9865930154</v>
      </c>
      <c r="AD21" s="24" t="n">
        <f aca="false">SUM(AD6:AD19)</f>
        <v>1.47814109884571</v>
      </c>
    </row>
    <row r="22" customFormat="false" ht="15" hidden="false" customHeight="false" outlineLevel="0" collapsed="false">
      <c r="M22" s="34"/>
      <c r="N22" s="27"/>
      <c r="O22" s="24" t="n">
        <f aca="false">SUM(O6:O20)</f>
        <v>14426.5227272727</v>
      </c>
      <c r="S22" s="34"/>
    </row>
    <row r="23" customFormat="false" ht="15" hidden="false" customHeight="false" outlineLevel="0" collapsed="false">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row>
    <row r="24" customFormat="false" ht="15" hidden="false" customHeight="false" outlineLevel="0" collapsed="false">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row>
    <row r="25" customFormat="false" ht="15" hidden="false" customHeight="false" outlineLevel="0" collapsed="false">
      <c r="B25" s="24" t="s">
        <v>137</v>
      </c>
      <c r="D25" s="36" t="s">
        <v>138</v>
      </c>
      <c r="E25" s="36"/>
      <c r="F25" s="36"/>
      <c r="G25" s="36"/>
      <c r="O25" s="27"/>
      <c r="P25" s="28" t="s">
        <v>139</v>
      </c>
      <c r="Q25" s="28"/>
      <c r="R25" s="28"/>
      <c r="V25" s="37"/>
      <c r="W25" s="37"/>
      <c r="X25" s="37"/>
      <c r="Y25" s="37"/>
      <c r="Z25" s="37"/>
      <c r="AA25" s="37"/>
      <c r="AB25" s="38" t="s">
        <v>140</v>
      </c>
      <c r="AC25" s="38"/>
      <c r="AD25" s="37"/>
      <c r="AE25" s="37"/>
    </row>
    <row r="26" customFormat="false" ht="15" hidden="false" customHeight="false" outlineLevel="0" collapsed="false">
      <c r="A26" s="24" t="s">
        <v>14</v>
      </c>
      <c r="B26" s="24" t="str">
        <f aca="false">D6</f>
        <v>kmol/h</v>
      </c>
      <c r="C26" s="24" t="s">
        <v>141</v>
      </c>
      <c r="D26" s="24" t="s">
        <v>142</v>
      </c>
      <c r="E26" s="27" t="s">
        <v>73</v>
      </c>
      <c r="F26" s="24" t="s">
        <v>74</v>
      </c>
      <c r="G26" s="24" t="s">
        <v>75</v>
      </c>
      <c r="H26" s="24" t="s">
        <v>143</v>
      </c>
      <c r="I26" s="24" t="s">
        <v>144</v>
      </c>
      <c r="K26" s="39"/>
      <c r="L26" s="24" t="s">
        <v>20</v>
      </c>
      <c r="M26" s="24" t="str">
        <f aca="false">M5</f>
        <v>kmol/h</v>
      </c>
      <c r="N26" s="24" t="s">
        <v>141</v>
      </c>
      <c r="O26" s="24" t="s">
        <v>142</v>
      </c>
      <c r="P26" s="27" t="s">
        <v>73</v>
      </c>
      <c r="Q26" s="27" t="s">
        <v>74</v>
      </c>
      <c r="R26" s="27" t="s">
        <v>75</v>
      </c>
      <c r="S26" s="24" t="s">
        <v>143</v>
      </c>
      <c r="T26" s="24" t="s">
        <v>144</v>
      </c>
      <c r="U26" s="27"/>
      <c r="V26" s="37" t="s">
        <v>145</v>
      </c>
      <c r="W26" s="37"/>
      <c r="X26" s="37"/>
      <c r="Y26" s="37" t="s">
        <v>73</v>
      </c>
      <c r="Z26" s="37" t="s">
        <v>74</v>
      </c>
      <c r="AA26" s="37" t="s">
        <v>75</v>
      </c>
      <c r="AB26" s="37" t="n">
        <v>298</v>
      </c>
      <c r="AC26" s="37" t="n">
        <v>623.15</v>
      </c>
      <c r="AD26" s="37" t="s">
        <v>146</v>
      </c>
      <c r="AE26" s="37" t="s">
        <v>147</v>
      </c>
      <c r="AF26" s="27" t="s">
        <v>148</v>
      </c>
      <c r="AG26" s="27" t="s">
        <v>149</v>
      </c>
      <c r="AH26" s="27"/>
      <c r="AI26" s="27"/>
      <c r="AL26" s="36" t="s">
        <v>150</v>
      </c>
      <c r="AM26" s="36"/>
      <c r="AN26" s="36"/>
      <c r="AO26" s="36"/>
      <c r="AP26" s="36"/>
    </row>
    <row r="27" customFormat="false" ht="15" hidden="false" customHeight="false" outlineLevel="0" collapsed="false">
      <c r="A27" s="24" t="str">
        <f aca="false">B7</f>
        <v>IB</v>
      </c>
      <c r="B27" s="24" t="n">
        <f aca="false">D7</f>
        <v>41.75</v>
      </c>
      <c r="C27" s="24" t="n">
        <f aca="false">B27*1000</f>
        <v>41750</v>
      </c>
      <c r="D27" s="24" t="n">
        <f aca="false">350+273.15</f>
        <v>623.15</v>
      </c>
      <c r="E27" s="27" t="n">
        <f aca="false">'heat of reactions'!C31</f>
        <v>4.126</v>
      </c>
      <c r="F27" s="39" t="n">
        <f aca="false">'heat of reactions'!D31</f>
        <v>-0.081626</v>
      </c>
      <c r="G27" s="39" t="n">
        <f aca="false">'heat of reactions'!E31</f>
        <v>3.6619E-005</v>
      </c>
      <c r="H27" s="39" t="n">
        <f aca="false">P27+Q27*O27+R27*O27^2</f>
        <v>-32.5195011339725</v>
      </c>
      <c r="I27" s="39" t="n">
        <f aca="false">H27*C27</f>
        <v>-1357689.17234335</v>
      </c>
      <c r="J27" s="39"/>
      <c r="K27" s="39"/>
      <c r="L27" s="24" t="s">
        <v>5</v>
      </c>
      <c r="M27" s="40" t="n">
        <f aca="false">M6</f>
        <v>0.167</v>
      </c>
      <c r="N27" s="24" t="n">
        <f aca="false">M27*1000</f>
        <v>167</v>
      </c>
      <c r="O27" s="24" t="n">
        <f aca="false">350+273.15</f>
        <v>623.15</v>
      </c>
      <c r="P27" s="27" t="n">
        <f aca="false">'heat of reactions'!C31</f>
        <v>4.126</v>
      </c>
      <c r="Q27" s="39" t="n">
        <f aca="false">'heat of reactions'!D31</f>
        <v>-0.081626</v>
      </c>
      <c r="R27" s="39" t="n">
        <f aca="false">'heat of reactions'!E31</f>
        <v>3.6619E-005</v>
      </c>
      <c r="S27" s="39" t="n">
        <f aca="false">P27+Q27*O27+R27*O27^2</f>
        <v>-32.5195011339725</v>
      </c>
      <c r="T27" s="39" t="n">
        <f aca="false">S27*N27</f>
        <v>-5430.75668937341</v>
      </c>
      <c r="U27" s="27"/>
      <c r="V27" s="41" t="s">
        <v>98</v>
      </c>
      <c r="W27" s="41"/>
      <c r="X27" s="41"/>
      <c r="Y27" s="41" t="n">
        <v>-333.418</v>
      </c>
      <c r="Z27" s="41" t="n">
        <v>-0.01744</v>
      </c>
      <c r="AA27" s="41" t="n">
        <v>1.89756E-005</v>
      </c>
      <c r="AB27" s="41" t="n">
        <v>-336.9300108176</v>
      </c>
      <c r="AC27" s="41" t="n">
        <v>-336.917208381009</v>
      </c>
      <c r="AD27" s="37" t="n">
        <f aca="false">N28</f>
        <v>34466.5020667615</v>
      </c>
      <c r="AE27" s="41" t="n">
        <f aca="false">AD27*AC27</f>
        <v>-11612357.6589916</v>
      </c>
      <c r="AF27" s="24" t="n">
        <v>38.7264</v>
      </c>
      <c r="AG27" s="39" t="n">
        <f aca="false">AF27*AC27</f>
        <v>-13047.5905786463</v>
      </c>
      <c r="AH27" s="27"/>
      <c r="AI27" s="27"/>
      <c r="AJ27" s="42" t="s">
        <v>105</v>
      </c>
      <c r="AK27" s="42" t="s">
        <v>151</v>
      </c>
      <c r="AL27" s="42" t="s">
        <v>73</v>
      </c>
      <c r="AM27" s="42" t="s">
        <v>74</v>
      </c>
      <c r="AN27" s="42" t="s">
        <v>75</v>
      </c>
      <c r="AO27" s="42" t="s">
        <v>152</v>
      </c>
      <c r="AP27" s="42" t="s">
        <v>153</v>
      </c>
      <c r="AQ27" s="24" t="s">
        <v>154</v>
      </c>
      <c r="AR27" s="24" t="s">
        <v>155</v>
      </c>
      <c r="AS27" s="27" t="s">
        <v>156</v>
      </c>
      <c r="AT27" s="24" t="s">
        <v>157</v>
      </c>
      <c r="AU27" s="27" t="s">
        <v>158</v>
      </c>
      <c r="AV27" s="27"/>
    </row>
    <row r="28" customFormat="false" ht="15" hidden="false" customHeight="false" outlineLevel="0" collapsed="false">
      <c r="A28" s="24" t="str">
        <f aca="false">B8</f>
        <v>O2</v>
      </c>
      <c r="B28" s="24" t="n">
        <f aca="false">D8</f>
        <v>83.5</v>
      </c>
      <c r="C28" s="24" t="n">
        <f aca="false">B28*1000</f>
        <v>83500</v>
      </c>
      <c r="D28" s="24" t="n">
        <f aca="false">350+273.15</f>
        <v>623.15</v>
      </c>
      <c r="E28" s="27" t="n">
        <v>0</v>
      </c>
      <c r="F28" s="24" t="n">
        <v>0</v>
      </c>
      <c r="G28" s="24" t="n">
        <v>0</v>
      </c>
      <c r="H28" s="39" t="n">
        <f aca="false">E28+F28*D28*G28*D28^2</f>
        <v>0</v>
      </c>
      <c r="I28" s="39" t="n">
        <f aca="false">H28*C28</f>
        <v>0</v>
      </c>
      <c r="J28" s="39"/>
      <c r="K28" s="39"/>
      <c r="L28" s="24" t="s">
        <v>22</v>
      </c>
      <c r="M28" s="40" t="n">
        <f aca="false">M7</f>
        <v>34.4665020667615</v>
      </c>
      <c r="N28" s="24" t="n">
        <f aca="false">M28*1000</f>
        <v>34466.5020667615</v>
      </c>
      <c r="O28" s="24" t="n">
        <f aca="false">350+273.15</f>
        <v>623.15</v>
      </c>
      <c r="P28" s="27" t="n">
        <f aca="false">'heat of reactions'!C26</f>
        <v>-90.882</v>
      </c>
      <c r="Q28" s="39" t="n">
        <f aca="false">'heat of reactions'!D26</f>
        <v>-0.08681</v>
      </c>
      <c r="R28" s="39" t="n">
        <f aca="false">'heat of reactions'!E26</f>
        <v>5.2829E-005</v>
      </c>
      <c r="S28" s="39" t="n">
        <f aca="false">P28+Q28*O28+R28*O28^2</f>
        <v>-124.463309630248</v>
      </c>
      <c r="T28" s="39" t="n">
        <f aca="false">S28*N28</f>
        <v>-4289814.91860691</v>
      </c>
      <c r="U28" s="27"/>
      <c r="V28" s="41" t="s">
        <v>159</v>
      </c>
      <c r="W28" s="41"/>
      <c r="X28" s="41"/>
      <c r="Y28" s="41" t="n">
        <v>-339.158</v>
      </c>
      <c r="Z28" s="41" t="n">
        <v>0.0393343889</v>
      </c>
      <c r="AA28" s="41" t="n">
        <v>0.000294540922</v>
      </c>
      <c r="AB28" s="41" t="n">
        <v>-301.279940070512</v>
      </c>
      <c r="AC28" s="41" t="n">
        <v>-200.271845716534</v>
      </c>
      <c r="AD28" s="37" t="n">
        <f aca="false">N30</f>
        <v>1453.94375</v>
      </c>
      <c r="AE28" s="41" t="n">
        <f aca="false">AD28*AC28</f>
        <v>-291183.998380519</v>
      </c>
      <c r="AF28" s="24" t="n">
        <v>1.5191</v>
      </c>
      <c r="AG28" s="39" t="n">
        <f aca="false">AF28*AC28</f>
        <v>-304.232960827987</v>
      </c>
      <c r="AH28" s="27"/>
      <c r="AI28" s="27"/>
      <c r="AJ28" s="42" t="s">
        <v>23</v>
      </c>
      <c r="AK28" s="42"/>
      <c r="AL28" s="42" t="n">
        <f aca="false">29.556</f>
        <v>29.556</v>
      </c>
      <c r="AM28" s="42" t="n">
        <f aca="false">-0.0065807</f>
        <v>-0.0065807</v>
      </c>
      <c r="AN28" s="43" t="n">
        <v>2.013E-005</v>
      </c>
      <c r="AO28" s="43" t="n">
        <v>-1.2227E-008</v>
      </c>
      <c r="AP28" s="43" t="n">
        <v>2.6717E-012</v>
      </c>
      <c r="AQ28" s="24" t="n">
        <v>500</v>
      </c>
      <c r="AR28" s="24" t="n">
        <f aca="false">O27</f>
        <v>623.15</v>
      </c>
      <c r="AS28" s="24" t="n">
        <f aca="false">AL28+AM28*AR28+AN28*AR28^2+AO28*AR28^3+AP28*AR28^4</f>
        <v>30.7162219157871</v>
      </c>
      <c r="AT28" s="24" t="n">
        <f aca="false">N29</f>
        <v>5123.42083333333</v>
      </c>
      <c r="AU28" s="39" t="n">
        <f aca="false">AT28*AS28</f>
        <v>157372.131284633</v>
      </c>
      <c r="AV28" s="27"/>
      <c r="AX28" s="39"/>
    </row>
    <row r="29" customFormat="false" ht="15" hidden="false" customHeight="false" outlineLevel="0" collapsed="false">
      <c r="A29" s="24" t="str">
        <f aca="false">B9</f>
        <v>N2</v>
      </c>
      <c r="B29" s="24" t="n">
        <f aca="false">D9</f>
        <v>296.045454545455</v>
      </c>
      <c r="C29" s="24" t="n">
        <f aca="false">B29*1000</f>
        <v>296045.454545455</v>
      </c>
      <c r="D29" s="24" t="n">
        <f aca="false">350+273.15</f>
        <v>623.15</v>
      </c>
      <c r="E29" s="27" t="n">
        <v>0</v>
      </c>
      <c r="F29" s="24" t="n">
        <v>0</v>
      </c>
      <c r="G29" s="24" t="n">
        <v>0</v>
      </c>
      <c r="H29" s="39" t="n">
        <f aca="false">E29+F29*D29*G29*D29^2</f>
        <v>0</v>
      </c>
      <c r="I29" s="39" t="n">
        <f aca="false">H29*C29</f>
        <v>0</v>
      </c>
      <c r="J29" s="39"/>
      <c r="K29" s="39"/>
      <c r="L29" s="24" t="s">
        <v>23</v>
      </c>
      <c r="M29" s="40" t="n">
        <f aca="false">M8</f>
        <v>5.12342083333333</v>
      </c>
      <c r="N29" s="24" t="n">
        <f aca="false">M29*1000</f>
        <v>5123.42083333333</v>
      </c>
      <c r="O29" s="24" t="n">
        <f aca="false">350+273.15</f>
        <v>623.15</v>
      </c>
      <c r="P29" s="27" t="n">
        <f aca="false">'heat of reactions'!C18</f>
        <v>-112.19</v>
      </c>
      <c r="Q29" s="39" t="n">
        <f aca="false">'heat of reactions'!D18</f>
        <v>0.0081182</v>
      </c>
      <c r="R29" s="39" t="n">
        <f aca="false">'heat of reactions'!E18</f>
        <v>-8.0425E-006</v>
      </c>
      <c r="S29" s="39" t="n">
        <f aca="false">P29+Q29*O29+R29*O29^2</f>
        <v>-110.254174476706</v>
      </c>
      <c r="T29" s="39" t="n">
        <f aca="false">S29*N29</f>
        <v>-564878.534475925</v>
      </c>
      <c r="U29" s="27"/>
      <c r="V29" s="41" t="s">
        <v>160</v>
      </c>
      <c r="W29" s="41"/>
      <c r="X29" s="41"/>
      <c r="Y29" s="41" t="n">
        <v>-1535.362</v>
      </c>
      <c r="Z29" s="41" t="n">
        <v>-4.79039187</v>
      </c>
      <c r="AA29" s="41" t="n">
        <v>-6.34670000000001E-006</v>
      </c>
      <c r="AB29" s="41" t="n">
        <v>-2963.4623896068</v>
      </c>
      <c r="AC29" s="41" t="n">
        <v>-4522.95921845583</v>
      </c>
      <c r="AD29" s="37" t="n">
        <f aca="false">N31</f>
        <v>1453.94375</v>
      </c>
      <c r="AE29" s="41" t="n">
        <f aca="false">AD29*AC29</f>
        <v>-6576128.28717874</v>
      </c>
      <c r="AF29" s="24" t="n">
        <v>1.1094</v>
      </c>
      <c r="AG29" s="39" t="n">
        <f aca="false">AF29*AC29</f>
        <v>-5017.7709569549</v>
      </c>
      <c r="AH29" s="27"/>
      <c r="AI29" s="27"/>
      <c r="AJ29" s="42" t="s">
        <v>34</v>
      </c>
      <c r="AK29" s="42"/>
      <c r="AL29" s="42" t="n">
        <v>27.437</v>
      </c>
      <c r="AM29" s="43" t="n">
        <v>0.042315</v>
      </c>
      <c r="AN29" s="42" t="n">
        <f aca="false">-0.000019555</f>
        <v>-1.9555E-005</v>
      </c>
      <c r="AO29" s="42" t="n">
        <f aca="false">0.0000000039968</f>
        <v>3.9968E-009</v>
      </c>
      <c r="AP29" s="42" t="n">
        <f aca="false">-0.00000000000029872</f>
        <v>-2.9872E-013</v>
      </c>
      <c r="AQ29" s="24" t="n">
        <v>500</v>
      </c>
      <c r="AR29" s="24" t="n">
        <f aca="false">O28</f>
        <v>623.15</v>
      </c>
      <c r="AS29" s="24" t="n">
        <f aca="false">AL29+AM29*AR29+AN29*AR29^2+AO29*AR29^3+AP29*AR29^4</f>
        <v>47.1341725544684</v>
      </c>
      <c r="AT29" s="24" t="n">
        <f aca="false">N39</f>
        <v>7556.89589962051</v>
      </c>
      <c r="AU29" s="39" t="n">
        <f aca="false">AT29*AS29</f>
        <v>356188.035308868</v>
      </c>
      <c r="AV29" s="27"/>
      <c r="AX29" s="39"/>
    </row>
    <row r="30" customFormat="false" ht="15" hidden="false" customHeight="false" outlineLevel="0" collapsed="false">
      <c r="A30" s="24" t="str">
        <f aca="false">B10</f>
        <v>steam</v>
      </c>
      <c r="B30" s="24" t="n">
        <f aca="false">D10</f>
        <v>62.625</v>
      </c>
      <c r="C30" s="24" t="n">
        <f aca="false">B30*1000</f>
        <v>62625</v>
      </c>
      <c r="D30" s="24" t="n">
        <f aca="false">350+273.15</f>
        <v>623.15</v>
      </c>
      <c r="E30" s="27" t="n">
        <f aca="false">'heat of reactions'!C29</f>
        <v>-238.41</v>
      </c>
      <c r="F30" s="39" t="n">
        <f aca="false">'heat of reactions'!D29</f>
        <v>-0.012256</v>
      </c>
      <c r="G30" s="39" t="n">
        <f aca="false">'heat of reactions'!E29</f>
        <v>2.7656E-006</v>
      </c>
      <c r="H30" s="39" t="n">
        <f aca="false">E30+F30*D30*G30*D30^2</f>
        <v>-246.611927326701</v>
      </c>
      <c r="I30" s="39" t="n">
        <f aca="false">H30*C30</f>
        <v>-15444071.9488347</v>
      </c>
      <c r="J30" s="39"/>
      <c r="K30" s="39"/>
      <c r="L30" s="24" t="s">
        <v>25</v>
      </c>
      <c r="M30" s="40" t="n">
        <f aca="false">M9</f>
        <v>1.45394375</v>
      </c>
      <c r="N30" s="24" t="n">
        <f aca="false">M30*1000</f>
        <v>1453.94375</v>
      </c>
      <c r="O30" s="24" t="n">
        <f aca="false">350+273.15</f>
        <v>623.15</v>
      </c>
      <c r="P30" s="27" t="n">
        <f aca="false">'heat of reactions'!C27</f>
        <v>-430.04</v>
      </c>
      <c r="Q30" s="39" t="n">
        <f aca="false">'heat of reactions'!D27</f>
        <v>-0.0474756111</v>
      </c>
      <c r="R30" s="39" t="n">
        <f aca="false">'heat of reactions'!E27</f>
        <v>0.000347369922</v>
      </c>
      <c r="S30" s="39" t="n">
        <f aca="false">P30+Q30*O30+R30*O30^2</f>
        <v>-324.735155346782</v>
      </c>
      <c r="T30" s="39" t="n">
        <f aca="false">S30*N30</f>
        <v>-472146.649521733</v>
      </c>
      <c r="U30" s="27"/>
      <c r="V30" s="41" t="s">
        <v>161</v>
      </c>
      <c r="W30" s="44"/>
      <c r="X30" s="44"/>
      <c r="Y30" s="44" t="n">
        <v>-805.984</v>
      </c>
      <c r="Z30" s="44" t="n">
        <v>0.013056</v>
      </c>
      <c r="AA30" s="41" t="n">
        <v>-1.01618E-005</v>
      </c>
      <c r="AB30" s="41" t="n">
        <v>-802.9957204872</v>
      </c>
      <c r="AC30" s="41" t="n">
        <v>-801.794142341261</v>
      </c>
      <c r="AD30" s="37" t="n">
        <f aca="false">N36</f>
        <v>207.70625</v>
      </c>
      <c r="AE30" s="41" t="n">
        <f aca="false">AD30*AC30</f>
        <v>-166537.65457767</v>
      </c>
      <c r="AF30" s="24" t="n">
        <v>0.3032</v>
      </c>
      <c r="AG30" s="39" t="n">
        <f aca="false">AF30*AC30</f>
        <v>-243.10398395787</v>
      </c>
      <c r="AH30" s="27"/>
      <c r="AI30" s="27"/>
      <c r="AJ30" s="42" t="s">
        <v>30</v>
      </c>
      <c r="AK30" s="42" t="n">
        <v>254.05</v>
      </c>
      <c r="AL30" s="42" t="n">
        <f aca="false">34.428</f>
        <v>34.428</v>
      </c>
      <c r="AM30" s="42" t="n">
        <f aca="false">-0.029779</f>
        <v>-0.029779</v>
      </c>
      <c r="AN30" s="42" t="n">
        <f aca="false">0.00015104</f>
        <v>0.00015104</v>
      </c>
      <c r="AO30" s="42" t="n">
        <f aca="false">-0.00000012733</f>
        <v>-1.2733E-007</v>
      </c>
      <c r="AP30" s="42" t="n">
        <f aca="false">0.000000000033887</f>
        <v>3.3887E-011</v>
      </c>
      <c r="AQ30" s="24" t="n">
        <v>500</v>
      </c>
      <c r="AR30" s="24" t="n">
        <f aca="false">O29</f>
        <v>623.15</v>
      </c>
      <c r="AS30" s="24" t="n">
        <f aca="false">AL30+AM30*AR30+AN30*AR30^2+AO30*AR30^3+AP30*AR30^4</f>
        <v>48.8210539765975</v>
      </c>
      <c r="AT30" s="24" t="n">
        <f aca="false">N35</f>
        <v>207.70625</v>
      </c>
      <c r="AU30" s="39" t="n">
        <f aca="false">AT30*AS30</f>
        <v>10140.4380425266</v>
      </c>
      <c r="AV30" s="27"/>
      <c r="AX30" s="39"/>
    </row>
    <row r="31" customFormat="false" ht="15" hidden="false" customHeight="false" outlineLevel="0" collapsed="false">
      <c r="A31" s="24" t="str">
        <f aca="false">B11</f>
        <v>Total</v>
      </c>
      <c r="B31" s="24" t="n">
        <f aca="false">D11</f>
        <v>483.920454545455</v>
      </c>
      <c r="C31" s="24" t="n">
        <f aca="false">SUM(C27:C30)</f>
        <v>483920.454545455</v>
      </c>
      <c r="D31" s="24" t="n">
        <f aca="false">350+273.15</f>
        <v>623.15</v>
      </c>
      <c r="E31" s="27"/>
      <c r="I31" s="39" t="n">
        <f aca="false">SUM(I27:I30)</f>
        <v>-16801761.121178</v>
      </c>
      <c r="K31" s="39"/>
      <c r="L31" s="24" t="s">
        <v>26</v>
      </c>
      <c r="M31" s="40" t="n">
        <f aca="false">M10</f>
        <v>1.45394375</v>
      </c>
      <c r="N31" s="24" t="n">
        <f aca="false">M31*1000</f>
        <v>1453.94375</v>
      </c>
      <c r="O31" s="24" t="n">
        <f aca="false">350+273.15</f>
        <v>623.15</v>
      </c>
      <c r="P31" s="27" t="n">
        <f aca="false">'heat of reactions'!C21</f>
        <v>-422.584</v>
      </c>
      <c r="Q31" s="39" t="n">
        <f aca="false">'heat of reactions'!D21</f>
        <v>-4.8354</v>
      </c>
      <c r="R31" s="39" t="n">
        <f aca="false">'heat of reactions'!E21</f>
        <v>2.337E-005</v>
      </c>
      <c r="S31" s="39" t="n">
        <f aca="false">P31+Q31*O31+R31*O31^2</f>
        <v>-3426.68856689117</v>
      </c>
      <c r="T31" s="39" t="n">
        <f aca="false">S31*N31</f>
        <v>-4982212.42502788</v>
      </c>
      <c r="U31" s="27"/>
      <c r="V31" s="41" t="s">
        <v>162</v>
      </c>
      <c r="W31" s="41"/>
      <c r="X31" s="41"/>
      <c r="Y31" s="41" t="n">
        <v>0</v>
      </c>
      <c r="Z31" s="41" t="n">
        <v>0</v>
      </c>
      <c r="AA31" s="41" t="n">
        <v>0</v>
      </c>
      <c r="AB31" s="41" t="n">
        <v>0</v>
      </c>
      <c r="AC31" s="41" t="n">
        <v>0</v>
      </c>
      <c r="AD31" s="37" t="n">
        <v>0</v>
      </c>
      <c r="AE31" s="41" t="n">
        <f aca="false">AD31*AC31</f>
        <v>0</v>
      </c>
      <c r="AF31" s="24" t="n">
        <v>0</v>
      </c>
      <c r="AG31" s="39" t="n">
        <f aca="false">AF31*AC31</f>
        <v>0</v>
      </c>
      <c r="AH31" s="27"/>
      <c r="AI31" s="27"/>
      <c r="AJ31" s="42" t="s">
        <v>60</v>
      </c>
      <c r="AK31" s="45" t="n">
        <f aca="false">AW28</f>
        <v>0</v>
      </c>
      <c r="AL31" s="42" t="n">
        <f aca="false">34.85</f>
        <v>34.85</v>
      </c>
      <c r="AM31" s="42" t="n">
        <f aca="false">0.037626</f>
        <v>0.037626</v>
      </c>
      <c r="AN31" s="43" t="n">
        <v>0.00028311</v>
      </c>
      <c r="AO31" s="42" t="n">
        <f aca="false">-0.00000030767</f>
        <v>-3.0767E-007</v>
      </c>
      <c r="AP31" s="43" t="n">
        <v>9.2646E-011</v>
      </c>
      <c r="AQ31" s="24" t="n">
        <v>500</v>
      </c>
      <c r="AR31" s="24" t="n">
        <f aca="false">O30</f>
        <v>623.15</v>
      </c>
      <c r="AS31" s="24" t="n">
        <f aca="false">AL31+AM31*AR31+AN31*AR31^2+AO31*AR31^3+AP31*AR31^4</f>
        <v>107.753084523038</v>
      </c>
      <c r="AT31" s="24" t="n">
        <f aca="false">N31</f>
        <v>1453.94375</v>
      </c>
      <c r="AU31" s="39" t="n">
        <f aca="false">AT31*AS31</f>
        <v>156666.923785492</v>
      </c>
      <c r="AV31" s="27"/>
      <c r="AX31" s="39"/>
    </row>
    <row r="32" customFormat="false" ht="15" hidden="false" customHeight="false" outlineLevel="0" collapsed="false">
      <c r="L32" s="24" t="s">
        <v>27</v>
      </c>
      <c r="M32" s="40" t="n">
        <f aca="false">M11</f>
        <v>0.830825</v>
      </c>
      <c r="N32" s="24" t="n">
        <f aca="false">M32*1000</f>
        <v>830.825</v>
      </c>
      <c r="O32" s="24" t="n">
        <f aca="false">350+273.15</f>
        <v>623.15</v>
      </c>
      <c r="P32" s="27" t="n">
        <f aca="false">'heat of reactions'!C25</f>
        <v>-199.175</v>
      </c>
      <c r="Q32" s="39" t="n">
        <f aca="false">'heat of reactions'!D25</f>
        <v>-0.071484</v>
      </c>
      <c r="R32" s="39" t="n">
        <f aca="false">'heat of reactions'!E25</f>
        <v>3.2534E-005</v>
      </c>
      <c r="S32" s="39" t="n">
        <f aca="false">P32+Q32*O32+R32*O32^2</f>
        <v>-231.086784377385</v>
      </c>
      <c r="T32" s="39" t="n">
        <f aca="false">S32*N32</f>
        <v>-191992.677630341</v>
      </c>
      <c r="U32" s="27"/>
      <c r="V32" s="41" t="s">
        <v>163</v>
      </c>
      <c r="W32" s="41"/>
      <c r="X32" s="41"/>
      <c r="Y32" s="41" t="n">
        <v>-859.448</v>
      </c>
      <c r="Z32" s="41" t="n">
        <v>0.0261844</v>
      </c>
      <c r="AA32" s="41" t="n">
        <v>-2.68938E-005</v>
      </c>
      <c r="AB32" s="41" t="n">
        <v>-854.0333258152</v>
      </c>
      <c r="AC32" s="41" t="n">
        <v>-853.57448189653</v>
      </c>
      <c r="AD32" s="37" t="n">
        <f aca="false">N33</f>
        <v>1453.94375</v>
      </c>
      <c r="AE32" s="41" t="n">
        <f aca="false">AD32*AC32</f>
        <v>-1241049.28311295</v>
      </c>
      <c r="AF32" s="24" t="n">
        <v>1.1094</v>
      </c>
      <c r="AG32" s="39" t="n">
        <f aca="false">AF32*AC32</f>
        <v>-946.95553021601</v>
      </c>
      <c r="AH32" s="27"/>
      <c r="AI32" s="27"/>
      <c r="AJ32" s="42" t="s">
        <v>41</v>
      </c>
      <c r="AK32" s="42" t="n">
        <v>293.55</v>
      </c>
      <c r="AL32" s="42" t="n">
        <f aca="false">34.14</f>
        <v>34.14</v>
      </c>
      <c r="AM32" s="43" t="n">
        <v>0.04002</v>
      </c>
      <c r="AN32" s="42" t="n">
        <f aca="false">0.00015634</f>
        <v>0.00015634</v>
      </c>
      <c r="AO32" s="42" t="n">
        <f aca="false">-0.00000016445</f>
        <v>-1.6445E-007</v>
      </c>
      <c r="AP32" s="42" t="n">
        <f aca="false">0.000000000047248</f>
        <v>4.7248E-011</v>
      </c>
      <c r="AQ32" s="24" t="n">
        <v>500</v>
      </c>
      <c r="AR32" s="24" t="n">
        <f aca="false">O31</f>
        <v>623.15</v>
      </c>
      <c r="AS32" s="24" t="n">
        <f aca="false">AL32+AM32*AR32+AN32*AR32^2+AO32*AR32^3+AP32*AR32^4</f>
        <v>87.1188074898445</v>
      </c>
      <c r="AT32" s="24" t="n">
        <f aca="false">N33</f>
        <v>1453.94375</v>
      </c>
      <c r="AU32" s="39" t="n">
        <f aca="false">AT32*AS32</f>
        <v>126665.845657313</v>
      </c>
      <c r="AV32" s="27"/>
      <c r="AX32" s="39"/>
    </row>
    <row r="33" customFormat="false" ht="15" hidden="false" customHeight="false" outlineLevel="0" collapsed="false">
      <c r="L33" s="24" t="s">
        <v>41</v>
      </c>
      <c r="M33" s="40" t="n">
        <f aca="false">M12</f>
        <v>1.45394375</v>
      </c>
      <c r="N33" s="24" t="n">
        <f aca="false">M33*1000</f>
        <v>1453.94375</v>
      </c>
      <c r="O33" s="24" t="n">
        <f aca="false">350+273.15</f>
        <v>623.15</v>
      </c>
      <c r="P33" s="27" t="n">
        <f aca="false">'heat of reactions'!C22</f>
        <v>-154.122</v>
      </c>
      <c r="Q33" s="39" t="n">
        <f aca="false">'heat of reactions'!D22</f>
        <v>-0.047166</v>
      </c>
      <c r="R33" s="39" t="n">
        <f aca="false">'heat of reactions'!E22</f>
        <v>2.0279E-005</v>
      </c>
      <c r="S33" s="39" t="n">
        <f aca="false">P33+Q33*O33+R33*O33^2</f>
        <v>-175.638834307623</v>
      </c>
      <c r="T33" s="39" t="n">
        <f aca="false">S33*N33</f>
        <v>-255368.985398853</v>
      </c>
      <c r="U33" s="27"/>
      <c r="V33" s="41" t="s">
        <v>164</v>
      </c>
      <c r="W33" s="41"/>
      <c r="X33" s="41"/>
      <c r="Y33" s="41" t="n">
        <v>-2531.454</v>
      </c>
      <c r="Z33" s="41" t="n">
        <v>0.03320252</v>
      </c>
      <c r="AA33" s="41" t="n">
        <v>-3.11346E-005</v>
      </c>
      <c r="AB33" s="41" t="n">
        <v>-2524.3245260584</v>
      </c>
      <c r="AC33" s="41" t="n">
        <v>-2522.85391058267</v>
      </c>
      <c r="AD33" s="37" t="n">
        <f aca="false">M39</f>
        <v>7.55689589962051</v>
      </c>
      <c r="AE33" s="41" t="n">
        <f aca="false">AD33*AC33</f>
        <v>-19064.9443722238</v>
      </c>
      <c r="AF33" s="24" t="n">
        <v>1.165</v>
      </c>
      <c r="AG33" s="39" t="n">
        <f aca="false">AF33*AC33</f>
        <v>-2939.12480582881</v>
      </c>
      <c r="AH33" s="27"/>
      <c r="AI33" s="27"/>
      <c r="AJ33" s="42" t="s">
        <v>29</v>
      </c>
      <c r="AK33" s="42" t="n">
        <v>325.84</v>
      </c>
      <c r="AL33" s="42" t="n">
        <f aca="false">109.243</f>
        <v>109.243</v>
      </c>
      <c r="AM33" s="42" t="n">
        <f aca="false">-0.50952</f>
        <v>-0.50952</v>
      </c>
      <c r="AN33" s="42" t="n">
        <f aca="false">0.0017059</f>
        <v>0.0017059</v>
      </c>
      <c r="AO33" s="42" t="n">
        <f aca="false">-0.0000018068</f>
        <v>-1.8068E-006</v>
      </c>
      <c r="AP33" s="42" t="n">
        <f aca="false">0.00000000065983</f>
        <v>6.5983E-010</v>
      </c>
      <c r="AQ33" s="24" t="n">
        <v>500</v>
      </c>
      <c r="AR33" s="24" t="n">
        <f aca="false">O32</f>
        <v>623.15</v>
      </c>
      <c r="AS33" s="24" t="n">
        <f aca="false">AL33+AM33*AR33+AN33*AR33^2+AO33*AR33^3+AP33*AR33^4</f>
        <v>116.451240312629</v>
      </c>
      <c r="AT33" s="24" t="n">
        <f aca="false">N34</f>
        <v>276.941666666667</v>
      </c>
      <c r="AU33" s="39" t="n">
        <f aca="false">AT33*AS33</f>
        <v>32250.20057758</v>
      </c>
      <c r="AV33" s="27"/>
      <c r="AX33" s="39"/>
    </row>
    <row r="34" customFormat="false" ht="15" hidden="false" customHeight="false" outlineLevel="0" collapsed="false">
      <c r="L34" s="24" t="s">
        <v>29</v>
      </c>
      <c r="M34" s="40" t="n">
        <f aca="false">M13</f>
        <v>0.276941666666667</v>
      </c>
      <c r="N34" s="24" t="n">
        <f aca="false">M34*1000</f>
        <v>276.941666666667</v>
      </c>
      <c r="O34" s="24" t="n">
        <f aca="false">350+273.15</f>
        <v>623.15</v>
      </c>
      <c r="P34" s="27" t="n">
        <f aca="false">'heat of reactions'!C23</f>
        <v>-66.702</v>
      </c>
      <c r="Q34" s="39" t="n">
        <f aca="false">'heat of reactions'!D23</f>
        <v>-0.059478</v>
      </c>
      <c r="R34" s="39" t="n">
        <f aca="false">'heat of reactions'!E23</f>
        <v>3.8716E-005</v>
      </c>
      <c r="S34" s="39" t="n">
        <f aca="false">P34+Q34*O34+R34*O34^2</f>
        <v>-88.73167644449</v>
      </c>
      <c r="T34" s="39" t="n">
        <f aca="false">S34*N34</f>
        <v>-24573.4983606645</v>
      </c>
      <c r="U34" s="27"/>
      <c r="V34" s="41" t="s">
        <v>165</v>
      </c>
      <c r="W34" s="41"/>
      <c r="X34" s="41"/>
      <c r="Y34" s="41" t="n">
        <v>-1406.526</v>
      </c>
      <c r="Z34" s="41" t="n">
        <v>0.0650748</v>
      </c>
      <c r="AA34" s="41" t="n">
        <v>-5.77266E-005</v>
      </c>
      <c r="AB34" s="41" t="n">
        <v>-1392.2600625864</v>
      </c>
      <c r="AC34" s="41" t="n">
        <v>-1388.39079631179</v>
      </c>
      <c r="AD34" s="37" t="n">
        <f aca="false">M29</f>
        <v>5.12342083333333</v>
      </c>
      <c r="AE34" s="41" t="n">
        <f aca="false">AD34*AC34</f>
        <v>-7113.31033063208</v>
      </c>
      <c r="AF34" s="24" t="n">
        <v>0.6542</v>
      </c>
      <c r="AG34" s="39" t="n">
        <f aca="false">AF34*AC34</f>
        <v>-908.285258947173</v>
      </c>
      <c r="AH34" s="27"/>
      <c r="AI34" s="27"/>
      <c r="AJ34" s="42" t="s">
        <v>166</v>
      </c>
      <c r="AK34" s="45" t="n">
        <f aca="false">AW29</f>
        <v>0</v>
      </c>
      <c r="AL34" s="42" t="n">
        <f aca="false">7.755</f>
        <v>7.755</v>
      </c>
      <c r="AM34" s="42" t="n">
        <f aca="false">0.29386</f>
        <v>0.29386</v>
      </c>
      <c r="AN34" s="42" t="n">
        <f aca="false">-0.00020878</f>
        <v>-0.00020878</v>
      </c>
      <c r="AO34" s="42" t="n">
        <f aca="false">0.000000071591</f>
        <v>7.1591E-008</v>
      </c>
      <c r="AP34" s="42" t="n">
        <f aca="false">-0.000000000009096</f>
        <v>-9.096E-012</v>
      </c>
      <c r="AQ34" s="24" t="n">
        <v>500</v>
      </c>
      <c r="AR34" s="24" t="n">
        <f aca="false">O33</f>
        <v>623.15</v>
      </c>
      <c r="AS34" s="24" t="n">
        <f aca="false">AL34+AM34*AR34+AN34*AR34^2+AO34*AR34^3+AP34*AR34^4</f>
        <v>125.753205024079</v>
      </c>
      <c r="AT34" s="24" t="n">
        <f aca="false">N36</f>
        <v>207.70625</v>
      </c>
      <c r="AU34" s="39" t="n">
        <f aca="false">AT34*AS34</f>
        <v>26119.7266410327</v>
      </c>
      <c r="AV34" s="27"/>
      <c r="AX34" s="39"/>
    </row>
    <row r="35" customFormat="false" ht="15" hidden="false" customHeight="false" outlineLevel="0" collapsed="false">
      <c r="L35" s="24" t="s">
        <v>30</v>
      </c>
      <c r="M35" s="40" t="n">
        <f aca="false">M14</f>
        <v>0.20770625</v>
      </c>
      <c r="N35" s="24" t="n">
        <f aca="false">M35*1000</f>
        <v>207.70625</v>
      </c>
      <c r="O35" s="24" t="n">
        <f aca="false">350+273.15</f>
        <v>623.15</v>
      </c>
      <c r="P35" s="27" t="n">
        <f aca="false">'heat of reactions'!C20</f>
        <v>-109.671</v>
      </c>
      <c r="Q35" s="39" t="n">
        <f aca="false">'heat of reactions'!D20</f>
        <v>-0.023151</v>
      </c>
      <c r="R35" s="39" t="n">
        <f aca="false">'heat of reactions'!E20</f>
        <v>7.8697E-006</v>
      </c>
      <c r="S35" s="39" t="n">
        <f aca="false">P35+Q35*O35+R35*O35^2</f>
        <v>-121.041615834702</v>
      </c>
      <c r="T35" s="39" t="n">
        <f aca="false">S35*N35</f>
        <v>-25141.1001189665</v>
      </c>
      <c r="U35" s="27"/>
      <c r="V35" s="41" t="s">
        <v>86</v>
      </c>
      <c r="W35" s="41"/>
      <c r="X35" s="41"/>
      <c r="Y35" s="41" t="n">
        <v>-941.07</v>
      </c>
      <c r="Z35" s="41" t="n">
        <v>-0.00221387000000001</v>
      </c>
      <c r="AA35" s="41" t="n">
        <v>6.23369999999999E-006</v>
      </c>
      <c r="AB35" s="41" t="n">
        <v>-941.1761557652</v>
      </c>
      <c r="AC35" s="41" t="n">
        <v>-940.028928124412</v>
      </c>
      <c r="AD35" s="37" t="n">
        <f aca="false">N34</f>
        <v>276.941666666667</v>
      </c>
      <c r="AE35" s="41" t="n">
        <f aca="false">AD35*AC35</f>
        <v>-260333.178069655</v>
      </c>
      <c r="AF35" s="24" t="n">
        <v>0.5194</v>
      </c>
      <c r="AG35" s="39" t="n">
        <f aca="false">AF35*AC35</f>
        <v>-488.25102526782</v>
      </c>
      <c r="AH35" s="27"/>
      <c r="AI35" s="27"/>
      <c r="AJ35" s="42" t="s">
        <v>27</v>
      </c>
      <c r="AK35" s="42" t="n">
        <v>329.44</v>
      </c>
      <c r="AL35" s="42" t="n">
        <f aca="false">35.918</f>
        <v>35.918</v>
      </c>
      <c r="AM35" s="42" t="n">
        <f aca="false">0.093896</f>
        <v>0.093896</v>
      </c>
      <c r="AN35" s="42" t="n">
        <f aca="false">0.0001873</f>
        <v>0.0001873</v>
      </c>
      <c r="AO35" s="42" t="n">
        <f aca="false">-0.00000021643</f>
        <v>-2.1643E-007</v>
      </c>
      <c r="AP35" s="42" t="n">
        <f aca="false">0.000000000063174</f>
        <v>6.3174E-011</v>
      </c>
      <c r="AQ35" s="24" t="n">
        <v>500</v>
      </c>
      <c r="AR35" s="24" t="n">
        <f aca="false">O34</f>
        <v>623.15</v>
      </c>
      <c r="AS35" s="24" t="n">
        <f aca="false">AL35+AM35*AR35+AN35*AR35^2+AO35*AR35^3+AP35*AR35^4</f>
        <v>124.315295628034</v>
      </c>
      <c r="AT35" s="24" t="n">
        <f aca="false">N32</f>
        <v>830.825</v>
      </c>
      <c r="AU35" s="39" t="n">
        <f aca="false">AT35*AS35</f>
        <v>103284.255490162</v>
      </c>
      <c r="AV35" s="27"/>
      <c r="AX35" s="39"/>
    </row>
    <row r="36" customFormat="false" ht="15" hidden="false" customHeight="false" outlineLevel="0" collapsed="false">
      <c r="L36" s="24" t="s">
        <v>31</v>
      </c>
      <c r="M36" s="40" t="n">
        <f aca="false">M15</f>
        <v>0.20770625</v>
      </c>
      <c r="N36" s="24" t="n">
        <f aca="false">M36*1000</f>
        <v>207.70625</v>
      </c>
      <c r="O36" s="24" t="n">
        <f aca="false">350+273.15</f>
        <v>623.15</v>
      </c>
      <c r="P36" s="27" t="n">
        <f aca="false">'heat of reactions'!C24</f>
        <v>-325.038</v>
      </c>
      <c r="Q36" s="39" t="n">
        <f aca="false">'heat of reactions'!D24</f>
        <v>-0.044058</v>
      </c>
      <c r="R36" s="39" t="n">
        <f aca="false">'heat of reactions'!E24</f>
        <v>2.0926E-005</v>
      </c>
      <c r="S36" s="39" t="n">
        <f aca="false">P36+Q36*O36+R36*O36^2</f>
        <v>-344.366843705765</v>
      </c>
      <c r="T36" s="39" t="n">
        <f aca="false">S36*N36</f>
        <v>-71527.1457304606</v>
      </c>
      <c r="U36" s="27"/>
      <c r="V36" s="41" t="s">
        <v>167</v>
      </c>
      <c r="W36" s="41"/>
      <c r="X36" s="41"/>
      <c r="Y36" s="41" t="n">
        <v>0</v>
      </c>
      <c r="Z36" s="41" t="n">
        <v>0</v>
      </c>
      <c r="AA36" s="41" t="n">
        <v>0</v>
      </c>
      <c r="AB36" s="41" t="n">
        <v>0</v>
      </c>
      <c r="AC36" s="41" t="n">
        <v>0</v>
      </c>
      <c r="AD36" s="37" t="n">
        <v>0</v>
      </c>
      <c r="AE36" s="41" t="n">
        <f aca="false">AD36*AC36</f>
        <v>0</v>
      </c>
      <c r="AF36" s="24" t="n">
        <v>0</v>
      </c>
      <c r="AG36" s="39" t="n">
        <f aca="false">AF36*AC36</f>
        <v>0</v>
      </c>
      <c r="AH36" s="27"/>
      <c r="AI36" s="27"/>
      <c r="AJ36" s="42" t="s">
        <v>168</v>
      </c>
      <c r="AK36" s="45" t="n">
        <f aca="false">AW30</f>
        <v>0</v>
      </c>
      <c r="AL36" s="42" t="n">
        <f aca="false">14.506</f>
        <v>14.506</v>
      </c>
      <c r="AM36" s="42" t="n">
        <f aca="false">0.15922</f>
        <v>0.15922</v>
      </c>
      <c r="AN36" s="42" t="n">
        <f aca="false">0.0003118</f>
        <v>0.0003118</v>
      </c>
      <c r="AO36" s="42" t="n">
        <f aca="false">-0.000000421</f>
        <v>-4.21E-007</v>
      </c>
      <c r="AP36" s="42" t="n">
        <f aca="false">0.00000000014222</f>
        <v>1.4222E-010</v>
      </c>
      <c r="AQ36" s="24" t="n">
        <v>500</v>
      </c>
      <c r="AR36" s="24" t="n">
        <f aca="false">O35</f>
        <v>623.15</v>
      </c>
      <c r="AS36" s="24" t="n">
        <f aca="false">AL36+AM36*AR36+AN36*AR36^2+AO36*AR36^3+AP36*AR36^4</f>
        <v>154.372908324891</v>
      </c>
      <c r="AT36" s="24" t="n">
        <f aca="false">N28</f>
        <v>34466.5020667615</v>
      </c>
      <c r="AU36" s="39" t="n">
        <f aca="false">AT36*AS36</f>
        <v>5320694.16383185</v>
      </c>
      <c r="AV36" s="27"/>
      <c r="AX36" s="39"/>
    </row>
    <row r="37" customFormat="false" ht="15" hidden="false" customHeight="false" outlineLevel="0" collapsed="false">
      <c r="F37" s="39"/>
      <c r="H37" s="27"/>
      <c r="L37" s="24" t="s">
        <v>15</v>
      </c>
      <c r="M37" s="40" t="n">
        <f aca="false">M16</f>
        <v>26.35</v>
      </c>
      <c r="N37" s="24" t="n">
        <f aca="false">M37*1000</f>
        <v>26350</v>
      </c>
      <c r="O37" s="24" t="n">
        <f aca="false">350+273.15</f>
        <v>623.15</v>
      </c>
      <c r="P37" s="27" t="n">
        <v>0</v>
      </c>
      <c r="Q37" s="39" t="n">
        <v>0</v>
      </c>
      <c r="R37" s="39" t="n">
        <v>0</v>
      </c>
      <c r="S37" s="39" t="n">
        <f aca="false">P37+Q37*O37+R37*O37^2</f>
        <v>0</v>
      </c>
      <c r="T37" s="39" t="n">
        <f aca="false">S37*N37</f>
        <v>0</v>
      </c>
      <c r="U37" s="27"/>
      <c r="V37" s="41" t="s">
        <v>169</v>
      </c>
      <c r="W37" s="41"/>
      <c r="X37" s="41"/>
      <c r="Y37" s="41" t="n">
        <v>0</v>
      </c>
      <c r="Z37" s="41" t="n">
        <v>0</v>
      </c>
      <c r="AA37" s="41" t="n">
        <v>0</v>
      </c>
      <c r="AB37" s="41" t="n">
        <v>0</v>
      </c>
      <c r="AC37" s="41" t="n">
        <v>0</v>
      </c>
      <c r="AD37" s="37" t="n">
        <v>0</v>
      </c>
      <c r="AE37" s="41" t="n">
        <f aca="false">AD37*AC37</f>
        <v>0</v>
      </c>
      <c r="AF37" s="24" t="n">
        <v>0</v>
      </c>
      <c r="AG37" s="39" t="n">
        <f aca="false">AF37*AC37</f>
        <v>0</v>
      </c>
      <c r="AH37" s="27"/>
      <c r="AI37" s="27"/>
      <c r="AJ37" s="42" t="s">
        <v>170</v>
      </c>
      <c r="AK37" s="42" t="n">
        <f aca="false">435</f>
        <v>435</v>
      </c>
      <c r="AL37" s="42" t="n">
        <f aca="false">-28.131</f>
        <v>-28.131</v>
      </c>
      <c r="AM37" s="42" t="n">
        <f aca="false">0.54744</f>
        <v>0.54744</v>
      </c>
      <c r="AN37" s="42" t="n">
        <f aca="false">-0.00053877</f>
        <v>-0.00053877</v>
      </c>
      <c r="AO37" s="43" t="n">
        <v>2.8583E-007</v>
      </c>
      <c r="AP37" s="42" t="n">
        <f aca="false">-0.000000000060864</f>
        <v>-6.0864E-011</v>
      </c>
      <c r="AQ37" s="24" t="n">
        <v>500</v>
      </c>
      <c r="AR37" s="24" t="n">
        <f aca="false">O36</f>
        <v>623.15</v>
      </c>
      <c r="AS37" s="24" t="n">
        <f aca="false">AL37+AM37*AR37+AN37*AR37^2+AO37*AR37^3+AP37*AR37^4</f>
        <v>163.780505928629</v>
      </c>
      <c r="AT37" s="24" t="n">
        <f aca="false">N30</f>
        <v>1453.94375</v>
      </c>
      <c r="AU37" s="39" t="n">
        <f aca="false">AT37*AS37</f>
        <v>238127.642966769</v>
      </c>
      <c r="AV37" s="27"/>
      <c r="AX37" s="39"/>
    </row>
    <row r="38" customFormat="false" ht="15" hidden="false" customHeight="false" outlineLevel="0" collapsed="false">
      <c r="F38" s="39"/>
      <c r="L38" s="24" t="s">
        <v>16</v>
      </c>
      <c r="M38" s="40" t="n">
        <f aca="false">M17</f>
        <v>296.045454545455</v>
      </c>
      <c r="N38" s="24" t="n">
        <f aca="false">M38*1000</f>
        <v>296045.454545455</v>
      </c>
      <c r="O38" s="24" t="n">
        <f aca="false">350+273.15</f>
        <v>623.15</v>
      </c>
      <c r="P38" s="27" t="n">
        <v>0</v>
      </c>
      <c r="Q38" s="39" t="n">
        <v>0</v>
      </c>
      <c r="R38" s="39" t="n">
        <v>0</v>
      </c>
      <c r="S38" s="39" t="n">
        <f aca="false">P38+Q38*O38+R38*O38^2</f>
        <v>0</v>
      </c>
      <c r="T38" s="39" t="n">
        <f aca="false">S38*N38</f>
        <v>0</v>
      </c>
      <c r="U38" s="27"/>
      <c r="V38" s="41" t="s">
        <v>82</v>
      </c>
      <c r="W38" s="41"/>
      <c r="X38" s="41"/>
      <c r="Y38" s="41" t="n">
        <v>-312.972</v>
      </c>
      <c r="Z38" s="41" t="n">
        <v>-0.013009</v>
      </c>
      <c r="AA38" s="41" t="n">
        <v>3.78469999999999E-006</v>
      </c>
      <c r="AB38" s="41" t="n">
        <v>-316.5125855012</v>
      </c>
      <c r="AC38" s="41" t="n">
        <v>-319.608899078114</v>
      </c>
      <c r="AD38" s="37" t="n">
        <f aca="false">N32</f>
        <v>830.825</v>
      </c>
      <c r="AE38" s="41" t="n">
        <f aca="false">AD38*AC38</f>
        <v>-265539.063576574</v>
      </c>
      <c r="AF38" s="24" t="n">
        <v>0.6115</v>
      </c>
      <c r="AG38" s="39" t="n">
        <f aca="false">AF38*AC38</f>
        <v>-195.440841786267</v>
      </c>
      <c r="AH38" s="27"/>
      <c r="AI38" s="27"/>
      <c r="AJ38" s="42" t="s">
        <v>61</v>
      </c>
      <c r="AK38" s="42" t="n">
        <v>373.15</v>
      </c>
      <c r="AL38" s="42" t="n">
        <v>33.933</v>
      </c>
      <c r="AM38" s="43" t="n">
        <v>-0.0084186</v>
      </c>
      <c r="AN38" s="43" t="n">
        <v>2.9906E-005</v>
      </c>
      <c r="AO38" s="43" t="n">
        <v>-1.7825E-008</v>
      </c>
      <c r="AP38" s="43" t="n">
        <v>3.6934E-012</v>
      </c>
      <c r="AQ38" s="24" t="n">
        <v>500</v>
      </c>
      <c r="AR38" s="24" t="n">
        <f aca="false">O38</f>
        <v>623.15</v>
      </c>
      <c r="AS38" s="24" t="n">
        <f aca="false">AL38+AM38*AR38+AN38*AR38^2+AO38*AR38^3+AP38*AR38^4</f>
        <v>36.5435735540034</v>
      </c>
      <c r="AT38" s="24" t="n">
        <f aca="false">N40</f>
        <v>113372.060466382</v>
      </c>
      <c r="AU38" s="39" t="n">
        <f aca="false">AT38*AS38</f>
        <v>4143020.23062215</v>
      </c>
      <c r="AV38" s="27"/>
      <c r="AX38" s="39"/>
    </row>
    <row r="39" customFormat="false" ht="15" hidden="false" customHeight="false" outlineLevel="0" collapsed="false">
      <c r="L39" s="24" t="s">
        <v>34</v>
      </c>
      <c r="M39" s="40" t="n">
        <f aca="false">M18</f>
        <v>7.55689589962051</v>
      </c>
      <c r="N39" s="24" t="n">
        <f aca="false">M39*1000</f>
        <v>7556.89589962051</v>
      </c>
      <c r="O39" s="24" t="n">
        <f aca="false">350+273.15</f>
        <v>623.15</v>
      </c>
      <c r="P39" s="27" t="n">
        <f aca="false">'heat of reactions'!C19</f>
        <v>-393.422</v>
      </c>
      <c r="Q39" s="39" t="n">
        <f aca="false">'heat of reactions'!D19</f>
        <v>0.00015013</v>
      </c>
      <c r="R39" s="39" t="n">
        <f aca="false">'heat of reactions'!E19</f>
        <v>-1.3945E-006</v>
      </c>
      <c r="S39" s="39" t="n">
        <f aca="false">P39+Q39*O39+R39*O39^2</f>
        <v>-393.869953044426</v>
      </c>
      <c r="T39" s="39" t="n">
        <f aca="false">S39*N39</f>
        <v>-2976434.23314515</v>
      </c>
      <c r="U39" s="27"/>
      <c r="V39" s="41" t="s">
        <v>171</v>
      </c>
      <c r="W39" s="41"/>
      <c r="X39" s="41"/>
      <c r="Y39" s="41" t="n">
        <v>0</v>
      </c>
      <c r="Z39" s="41" t="n">
        <v>0</v>
      </c>
      <c r="AA39" s="41" t="n">
        <v>0</v>
      </c>
      <c r="AB39" s="41" t="n">
        <v>0</v>
      </c>
      <c r="AC39" s="41" t="n">
        <v>0</v>
      </c>
      <c r="AD39" s="37" t="n">
        <v>0</v>
      </c>
      <c r="AE39" s="41" t="n">
        <f aca="false">AD39*AC39</f>
        <v>0</v>
      </c>
      <c r="AF39" s="24" t="n">
        <v>0.5718</v>
      </c>
      <c r="AG39" s="39" t="n">
        <f aca="false">AF39*AC39</f>
        <v>0</v>
      </c>
      <c r="AH39" s="27"/>
      <c r="AI39" s="27"/>
      <c r="AJ39" s="42" t="s">
        <v>120</v>
      </c>
      <c r="AK39" s="42"/>
      <c r="AL39" s="42" t="n">
        <f aca="false">32.918</f>
        <v>32.918</v>
      </c>
      <c r="AM39" s="42" t="n">
        <f aca="false">0.18546</f>
        <v>0.18546</v>
      </c>
      <c r="AN39" s="42" t="n">
        <f aca="false">0.000077876</f>
        <v>7.7876E-005</v>
      </c>
      <c r="AO39" s="42" t="n">
        <f aca="false">-0.00000014654</f>
        <v>-1.4654E-007</v>
      </c>
      <c r="AP39" s="42" t="n">
        <f aca="false">0.000000000046867</f>
        <v>4.6867E-011</v>
      </c>
      <c r="AQ39" s="24" t="n">
        <v>500</v>
      </c>
      <c r="AR39" s="24" t="n">
        <f aca="false">O40</f>
        <v>623.15</v>
      </c>
      <c r="AS39" s="24" t="n">
        <f aca="false">AL39+AM39*AR39+AN39*AR39^2+AO39*AR39^3+AP39*AR39^4</f>
        <v>150.335317332262</v>
      </c>
      <c r="AT39" s="24" t="n">
        <f aca="false">N27</f>
        <v>167</v>
      </c>
      <c r="AU39" s="39" t="n">
        <f aca="false">AT39*AS39</f>
        <v>25105.9979944877</v>
      </c>
      <c r="AV39" s="27"/>
      <c r="AX39" s="39"/>
    </row>
    <row r="40" customFormat="false" ht="15" hidden="false" customHeight="false" outlineLevel="0" collapsed="false">
      <c r="L40" s="24" t="s">
        <v>7</v>
      </c>
      <c r="M40" s="40" t="n">
        <f aca="false">M19</f>
        <v>113.372060466382</v>
      </c>
      <c r="N40" s="24" t="n">
        <f aca="false">M40*1000</f>
        <v>113372.060466382</v>
      </c>
      <c r="O40" s="24" t="n">
        <f aca="false">350+273.15</f>
        <v>623.15</v>
      </c>
      <c r="P40" s="27" t="n">
        <f aca="false">'heat of reactions'!C29</f>
        <v>-238.41</v>
      </c>
      <c r="Q40" s="39" t="n">
        <f aca="false">'heat of reactions'!D29</f>
        <v>-0.012256</v>
      </c>
      <c r="R40" s="39" t="n">
        <f aca="false">'heat of reactions'!E29</f>
        <v>2.7656E-006</v>
      </c>
      <c r="S40" s="39" t="n">
        <f aca="false">P40+Q40*O40+R40*O40^2</f>
        <v>-244.973399884734</v>
      </c>
      <c r="T40" s="39" t="n">
        <f aca="false">S40*N40</f>
        <v>-27773139.1043873</v>
      </c>
      <c r="U40" s="27"/>
      <c r="V40" s="41" t="s">
        <v>102</v>
      </c>
      <c r="W40" s="41"/>
      <c r="X40" s="41"/>
      <c r="Y40" s="41" t="n">
        <v>-522.161</v>
      </c>
      <c r="Z40" s="41" t="n">
        <v>0.01104513</v>
      </c>
      <c r="AA40" s="41" t="n">
        <v>-6.4986E-006</v>
      </c>
      <c r="AB40" s="41" t="n">
        <v>-519.4466529344</v>
      </c>
      <c r="AC40" s="41" t="n">
        <v>-517.801737094458</v>
      </c>
      <c r="AD40" s="37" t="n">
        <f aca="false">N35</f>
        <v>207.70625</v>
      </c>
      <c r="AE40" s="41" t="n">
        <f aca="false">AD40*AC40</f>
        <v>-107550.657055376</v>
      </c>
      <c r="AF40" s="24" t="n">
        <v>0</v>
      </c>
      <c r="AG40" s="39" t="n">
        <f aca="false">AF40*AC40</f>
        <v>-0</v>
      </c>
      <c r="AH40" s="27"/>
      <c r="AI40" s="27"/>
      <c r="AJ40" s="24" t="s">
        <v>16</v>
      </c>
      <c r="AL40" s="24" t="n">
        <v>29.342</v>
      </c>
      <c r="AM40" s="24" t="n">
        <v>-0.035395</v>
      </c>
      <c r="AN40" s="24" t="n">
        <v>1.0076E-005</v>
      </c>
      <c r="AO40" s="24" t="n">
        <v>-4.3116E-009</v>
      </c>
      <c r="AP40" s="24" t="n">
        <v>2.6E-013</v>
      </c>
      <c r="AQ40" s="24" t="n">
        <v>500</v>
      </c>
      <c r="AR40" s="24" t="n">
        <f aca="false">623.15</f>
        <v>623.15</v>
      </c>
      <c r="AS40" s="24" t="n">
        <f aca="false">AL40</f>
        <v>29.342</v>
      </c>
      <c r="AT40" s="24" t="n">
        <f aca="false">N38</f>
        <v>296045.454545455</v>
      </c>
      <c r="AU40" s="39" t="n">
        <f aca="false">AT40*AS40</f>
        <v>8686565.72727273</v>
      </c>
      <c r="AV40" s="27"/>
      <c r="AX40" s="39"/>
    </row>
    <row r="41" customFormat="false" ht="15" hidden="false" customHeight="false" outlineLevel="0" collapsed="false">
      <c r="H41" s="27"/>
      <c r="L41" s="24" t="s">
        <v>35</v>
      </c>
      <c r="M41" s="24" t="n">
        <f aca="false">M21</f>
        <v>488.966344228219</v>
      </c>
      <c r="N41" s="24" t="n">
        <f aca="false">SUM(N27:N40)</f>
        <v>488966.344228219</v>
      </c>
      <c r="P41" s="27"/>
      <c r="Q41" s="27"/>
      <c r="R41" s="27"/>
      <c r="S41" s="27"/>
      <c r="T41" s="39" t="n">
        <f aca="false">SUM(T27:T40)</f>
        <v>-41632660.0290935</v>
      </c>
      <c r="V41" s="37"/>
      <c r="W41" s="37"/>
      <c r="X41" s="37"/>
      <c r="Y41" s="37"/>
      <c r="Z41" s="37"/>
      <c r="AA41" s="41"/>
      <c r="AB41" s="41"/>
      <c r="AC41" s="46" t="n">
        <f aca="false">SUM(AC27:AC40)</f>
        <v>-12404.2011679826</v>
      </c>
      <c r="AD41" s="46"/>
      <c r="AE41" s="46" t="n">
        <f aca="false">SUM(AE27:AE40)</f>
        <v>-20546858.0356459</v>
      </c>
      <c r="AG41" s="39" t="n">
        <f aca="false">SUM(AG27:AG40)</f>
        <v>-24090.7559424331</v>
      </c>
      <c r="AH41" s="27"/>
      <c r="AI41" s="27"/>
      <c r="AJ41" s="24" t="s">
        <v>15</v>
      </c>
      <c r="AL41" s="24" t="n">
        <v>29.526</v>
      </c>
      <c r="AM41" s="24" t="n">
        <v>-0.0089</v>
      </c>
      <c r="AN41" s="24" t="n">
        <v>3.81E-005</v>
      </c>
      <c r="AO41" s="24" t="n">
        <v>-3.2E-008</v>
      </c>
      <c r="AP41" s="24" t="n">
        <v>8.9E-012</v>
      </c>
      <c r="AQ41" s="24" t="n">
        <f aca="false">AQ40</f>
        <v>500</v>
      </c>
      <c r="AR41" s="24" t="n">
        <f aca="false">AR40</f>
        <v>623.15</v>
      </c>
      <c r="AS41" s="24" t="n">
        <f aca="false">AL41+AM41*AR41+AN41*AR41^2+AO41*AR41^3+AP41*AR41^4</f>
        <v>32.3734958752985</v>
      </c>
      <c r="AT41" s="24" t="n">
        <f aca="false">N37</f>
        <v>26350</v>
      </c>
      <c r="AU41" s="39" t="n">
        <f aca="false">AT41*AS41</f>
        <v>853041.616314116</v>
      </c>
      <c r="AV41" s="27"/>
      <c r="AX41" s="39"/>
    </row>
    <row r="42" customFormat="false" ht="15" hidden="false" customHeight="false" outlineLevel="0" collapsed="false">
      <c r="H42" s="27"/>
      <c r="M42" s="24" t="n">
        <f aca="false">SUM(M27:M40)</f>
        <v>488.966344228219</v>
      </c>
      <c r="N42" s="24" t="n">
        <f aca="false">M42*1000</f>
        <v>488966.344228219</v>
      </c>
      <c r="P42" s="27"/>
      <c r="Q42" s="27"/>
      <c r="R42" s="27"/>
      <c r="S42" s="27"/>
      <c r="T42" s="27"/>
      <c r="AG42" s="27"/>
      <c r="AH42" s="27"/>
      <c r="AI42" s="27"/>
      <c r="AJ42" s="27"/>
      <c r="AK42" s="27"/>
      <c r="AL42" s="27"/>
      <c r="AM42" s="27"/>
      <c r="AN42" s="27"/>
      <c r="AO42" s="27"/>
      <c r="AP42" s="27"/>
      <c r="AQ42" s="27"/>
      <c r="AR42" s="27"/>
      <c r="AS42" s="27"/>
      <c r="AT42" s="24" t="n">
        <f aca="false">SUM(AT28:AT41)</f>
        <v>488966.344228219</v>
      </c>
      <c r="AU42" s="39" t="n">
        <f aca="false">SUM(AU28:AU41)</f>
        <v>20235242.9357897</v>
      </c>
      <c r="AV42" s="27"/>
      <c r="AW42" s="27"/>
      <c r="AX42" s="39"/>
    </row>
    <row r="43" customFormat="false" ht="15" hidden="false" customHeight="false" outlineLevel="0" collapsed="false">
      <c r="H43" s="27"/>
      <c r="P43" s="27"/>
      <c r="AC43" s="24" t="s">
        <v>172</v>
      </c>
      <c r="AD43" s="39" t="n">
        <f aca="false">AC41*1000*N27</f>
        <v>-2071501595.0531</v>
      </c>
      <c r="AH43" s="27"/>
      <c r="AI43" s="27"/>
      <c r="AJ43" s="27"/>
      <c r="AK43" s="27"/>
      <c r="AL43" s="27"/>
      <c r="AM43" s="27"/>
      <c r="AN43" s="27"/>
      <c r="AO43" s="27"/>
      <c r="AP43" s="27"/>
      <c r="AQ43" s="27"/>
      <c r="AR43" s="27"/>
      <c r="AS43" s="27"/>
      <c r="AT43" s="27"/>
      <c r="AU43" s="27"/>
      <c r="AV43" s="27"/>
      <c r="AW43" s="27"/>
      <c r="AX43" s="27"/>
    </row>
    <row r="44" customFormat="false" ht="15" hidden="false" customHeight="false" outlineLevel="0" collapsed="false">
      <c r="H44" s="27"/>
      <c r="M44" s="24" t="s">
        <v>173</v>
      </c>
      <c r="P44" s="27"/>
      <c r="AC44" s="24" t="s">
        <v>174</v>
      </c>
      <c r="AD44" s="24" t="n">
        <f aca="false">AD43/AU42</f>
        <v>-102.370977290778</v>
      </c>
      <c r="AE44" s="24" t="s">
        <v>175</v>
      </c>
    </row>
    <row r="45" customFormat="false" ht="15" hidden="false" customHeight="false" outlineLevel="0" collapsed="false">
      <c r="L45" s="24" t="s">
        <v>176</v>
      </c>
      <c r="M45" s="39" t="n">
        <f aca="false">I31-T41</f>
        <v>24830898.9079155</v>
      </c>
      <c r="N45" s="24" t="s">
        <v>177</v>
      </c>
      <c r="P45" s="27"/>
      <c r="AQ45" s="24" t="s">
        <v>178</v>
      </c>
      <c r="AR45" s="24" t="n">
        <f aca="false">AU42/AT42</f>
        <v>41.3837131627717</v>
      </c>
      <c r="AS45" s="24" t="s">
        <v>179</v>
      </c>
    </row>
    <row r="46" customFormat="false" ht="15" hidden="false" customHeight="false" outlineLevel="0" collapsed="false">
      <c r="M46" s="24" t="n">
        <f aca="false">M45/3600</f>
        <v>6897.47191886542</v>
      </c>
      <c r="N46" s="24" t="s">
        <v>180</v>
      </c>
      <c r="P46" s="27"/>
    </row>
    <row r="47" customFormat="false" ht="15" hidden="false" customHeight="false" outlineLevel="0" collapsed="false">
      <c r="M47" s="24" t="n">
        <f aca="false">M46*1000</f>
        <v>6897471.91886542</v>
      </c>
      <c r="N47" s="24" t="s">
        <v>181</v>
      </c>
      <c r="P47" s="27"/>
    </row>
    <row r="48" customFormat="false" ht="15" hidden="false" customHeight="false" outlineLevel="0" collapsed="false">
      <c r="M48" s="24" t="n">
        <f aca="false">M47/10^6</f>
        <v>6.89747191886542</v>
      </c>
      <c r="N48" s="24" t="s">
        <v>57</v>
      </c>
      <c r="P48" s="27"/>
    </row>
    <row r="49" customFormat="false" ht="15" hidden="false" customHeight="false" outlineLevel="0" collapsed="false">
      <c r="P49" s="27"/>
    </row>
  </sheetData>
  <mergeCells count="7">
    <mergeCell ref="G1:I1"/>
    <mergeCell ref="K1:R3"/>
    <mergeCell ref="AA4:AD4"/>
    <mergeCell ref="D25:G25"/>
    <mergeCell ref="P25:R25"/>
    <mergeCell ref="AB25:AC25"/>
    <mergeCell ref="AL26:AP2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6"/>
  <sheetViews>
    <sheetView showFormulas="false" showGridLines="true" showRowColHeaders="true" showZeros="true" rightToLeft="false" tabSelected="false" showOutlineSymbols="true" defaultGridColor="true" view="normal" topLeftCell="A1" colorId="64" zoomScale="103" zoomScaleNormal="103" zoomScalePageLayoutView="100" workbookViewId="0">
      <selection pane="topLeft" activeCell="C38" activeCellId="1" sqref="B17:E31 C38"/>
    </sheetView>
  </sheetViews>
  <sheetFormatPr defaultColWidth="11.53515625" defaultRowHeight="12.8" zeroHeight="false" outlineLevelRow="0" outlineLevelCol="0"/>
  <sheetData>
    <row r="1" customFormat="false" ht="12.8" hidden="false" customHeight="false" outlineLevel="0" collapsed="false">
      <c r="A1" s="2"/>
      <c r="B1" s="2" t="s">
        <v>182</v>
      </c>
      <c r="C1" s="2"/>
      <c r="D1" s="2" t="s">
        <v>183</v>
      </c>
      <c r="E1" s="2"/>
      <c r="F1" s="2"/>
      <c r="G1" s="2"/>
      <c r="H1" s="2" t="s">
        <v>184</v>
      </c>
      <c r="I1" s="2"/>
      <c r="J1" s="2"/>
      <c r="K1" s="2"/>
      <c r="L1" s="2"/>
      <c r="M1" s="2"/>
      <c r="N1" s="2"/>
    </row>
    <row r="2" customFormat="false" ht="12.8" hidden="false" customHeight="false" outlineLevel="0" collapsed="false">
      <c r="A2" s="2"/>
      <c r="B2" s="2" t="s">
        <v>11</v>
      </c>
      <c r="C2" s="2" t="s">
        <v>185</v>
      </c>
      <c r="D2" s="2" t="s">
        <v>75</v>
      </c>
      <c r="E2" s="2" t="s">
        <v>131</v>
      </c>
      <c r="F2" s="2" t="s">
        <v>133</v>
      </c>
      <c r="G2" s="2" t="s">
        <v>134</v>
      </c>
      <c r="H2" s="2" t="s">
        <v>75</v>
      </c>
      <c r="I2" s="2" t="s">
        <v>131</v>
      </c>
      <c r="J2" s="2" t="s">
        <v>133</v>
      </c>
      <c r="K2" s="2" t="s">
        <v>134</v>
      </c>
      <c r="L2" s="2"/>
      <c r="M2" s="2"/>
      <c r="N2" s="2"/>
    </row>
    <row r="3" customFormat="false" ht="12.8" hidden="false" customHeight="false" outlineLevel="0" collapsed="false">
      <c r="A3" s="2" t="s">
        <v>5</v>
      </c>
      <c r="B3" s="2" t="n">
        <f aca="false">r1!D7</f>
        <v>41.75</v>
      </c>
      <c r="C3" s="2" t="s">
        <v>186</v>
      </c>
      <c r="D3" s="2" t="n">
        <v>4</v>
      </c>
      <c r="E3" s="2" t="n">
        <v>8</v>
      </c>
      <c r="F3" s="2" t="n">
        <v>0</v>
      </c>
      <c r="G3" s="2" t="n">
        <v>0</v>
      </c>
      <c r="H3" s="2" t="n">
        <f aca="false">$B3*D3</f>
        <v>167</v>
      </c>
      <c r="I3" s="2" t="n">
        <f aca="false">$B3*E3</f>
        <v>334</v>
      </c>
      <c r="J3" s="2" t="n">
        <f aca="false">$B3*F3</f>
        <v>0</v>
      </c>
      <c r="K3" s="2" t="n">
        <f aca="false">$B3*G3</f>
        <v>0</v>
      </c>
      <c r="L3" s="2"/>
      <c r="M3" s="2"/>
      <c r="N3" s="2"/>
    </row>
    <row r="4" customFormat="false" ht="12.8" hidden="false" customHeight="false" outlineLevel="0" collapsed="false">
      <c r="A4" s="2" t="s">
        <v>15</v>
      </c>
      <c r="B4" s="2" t="n">
        <f aca="false">r1!D8</f>
        <v>83.5</v>
      </c>
      <c r="C4" s="2" t="s">
        <v>187</v>
      </c>
      <c r="D4" s="2" t="n">
        <v>0</v>
      </c>
      <c r="E4" s="2" t="n">
        <v>0</v>
      </c>
      <c r="F4" s="2" t="n">
        <v>2</v>
      </c>
      <c r="G4" s="2" t="n">
        <v>0</v>
      </c>
      <c r="H4" s="2" t="n">
        <f aca="false">$B4*D4</f>
        <v>0</v>
      </c>
      <c r="I4" s="2" t="n">
        <f aca="false">$B4*E4</f>
        <v>0</v>
      </c>
      <c r="J4" s="2" t="n">
        <f aca="false">$B4*F4</f>
        <v>167</v>
      </c>
      <c r="K4" s="2" t="n">
        <f aca="false">$B4*G4</f>
        <v>0</v>
      </c>
      <c r="L4" s="2"/>
      <c r="M4" s="2"/>
      <c r="N4" s="2"/>
    </row>
    <row r="5" customFormat="false" ht="12.8" hidden="false" customHeight="false" outlineLevel="0" collapsed="false">
      <c r="A5" s="2" t="s">
        <v>16</v>
      </c>
      <c r="B5" s="2" t="n">
        <f aca="false">r1!D9</f>
        <v>296.045454545455</v>
      </c>
      <c r="C5" s="2" t="s">
        <v>188</v>
      </c>
      <c r="D5" s="2" t="n">
        <v>0</v>
      </c>
      <c r="E5" s="2" t="n">
        <v>0</v>
      </c>
      <c r="F5" s="2" t="n">
        <v>0</v>
      </c>
      <c r="G5" s="2" t="n">
        <v>2</v>
      </c>
      <c r="H5" s="2" t="n">
        <f aca="false">$B5*D5</f>
        <v>0</v>
      </c>
      <c r="I5" s="2" t="n">
        <f aca="false">$B5*E5</f>
        <v>0</v>
      </c>
      <c r="J5" s="2" t="n">
        <f aca="false">$B5*F5</f>
        <v>0</v>
      </c>
      <c r="K5" s="2" t="n">
        <f aca="false">$B5*G5</f>
        <v>592.090909090909</v>
      </c>
      <c r="L5" s="2"/>
      <c r="M5" s="2"/>
      <c r="N5" s="2"/>
    </row>
    <row r="6" customFormat="false" ht="12.8" hidden="false" customHeight="false" outlineLevel="0" collapsed="false">
      <c r="A6" s="2" t="s">
        <v>132</v>
      </c>
      <c r="B6" s="2" t="n">
        <f aca="false">r1!D10</f>
        <v>62.625</v>
      </c>
      <c r="C6" s="2" t="s">
        <v>189</v>
      </c>
      <c r="D6" s="2" t="n">
        <v>0</v>
      </c>
      <c r="E6" s="2" t="n">
        <v>2</v>
      </c>
      <c r="F6" s="2" t="n">
        <v>1</v>
      </c>
      <c r="G6" s="2" t="n">
        <v>0</v>
      </c>
      <c r="H6" s="2" t="n">
        <f aca="false">$B6*D6</f>
        <v>0</v>
      </c>
      <c r="I6" s="2" t="n">
        <f aca="false">$B6*E6</f>
        <v>125.25</v>
      </c>
      <c r="J6" s="2" t="n">
        <f aca="false">$B6*F6</f>
        <v>62.625</v>
      </c>
      <c r="K6" s="2" t="n">
        <f aca="false">$B6*G6</f>
        <v>0</v>
      </c>
      <c r="L6" s="2"/>
      <c r="M6" s="2"/>
      <c r="N6" s="2"/>
    </row>
    <row r="7" customFormat="false" ht="12.8" hidden="false" customHeight="false" outlineLevel="0" collapsed="false">
      <c r="A7" s="2"/>
      <c r="B7" s="2"/>
      <c r="C7" s="2"/>
      <c r="D7" s="2"/>
      <c r="E7" s="2"/>
      <c r="F7" s="2"/>
      <c r="G7" s="2"/>
      <c r="H7" s="2" t="n">
        <f aca="false">SUM(H3:H6)</f>
        <v>167</v>
      </c>
      <c r="I7" s="2" t="n">
        <f aca="false">SUM(I3:I6)</f>
        <v>459.25</v>
      </c>
      <c r="J7" s="2" t="n">
        <f aca="false">SUM(J3:J6)</f>
        <v>229.625</v>
      </c>
      <c r="K7" s="2" t="n">
        <f aca="false">SUM(K3:K6)</f>
        <v>592.090909090909</v>
      </c>
      <c r="L7" s="2"/>
      <c r="M7" s="2"/>
      <c r="N7" s="2"/>
    </row>
    <row r="8" customFormat="false" ht="12.8" hidden="false" customHeight="false" outlineLevel="0" collapsed="false">
      <c r="A8" s="2"/>
      <c r="B8" s="2"/>
      <c r="C8" s="2"/>
      <c r="D8" s="2"/>
      <c r="E8" s="2"/>
      <c r="F8" s="2"/>
      <c r="G8" s="2"/>
      <c r="H8" s="2"/>
      <c r="I8" s="2"/>
      <c r="J8" s="2"/>
      <c r="K8" s="2"/>
      <c r="L8" s="2"/>
      <c r="M8" s="2"/>
      <c r="N8" s="2"/>
    </row>
    <row r="9" customFormat="false" ht="12.8" hidden="false" customHeight="false" outlineLevel="0" collapsed="false">
      <c r="B9" s="2" t="s">
        <v>182</v>
      </c>
      <c r="C9" s="2"/>
      <c r="D9" s="2" t="s">
        <v>183</v>
      </c>
      <c r="E9" s="2"/>
      <c r="F9" s="2"/>
      <c r="G9" s="2"/>
      <c r="H9" s="2" t="s">
        <v>184</v>
      </c>
      <c r="I9" s="2"/>
      <c r="J9" s="2"/>
      <c r="K9" s="2"/>
      <c r="L9" s="2"/>
      <c r="M9" s="2"/>
      <c r="N9" s="2"/>
    </row>
    <row r="10" customFormat="false" ht="12.8" hidden="false" customHeight="false" outlineLevel="0" collapsed="false">
      <c r="B10" s="2" t="s">
        <v>11</v>
      </c>
      <c r="C10" s="2" t="s">
        <v>185</v>
      </c>
      <c r="D10" s="2" t="s">
        <v>75</v>
      </c>
      <c r="E10" s="2" t="s">
        <v>131</v>
      </c>
      <c r="F10" s="2" t="s">
        <v>133</v>
      </c>
      <c r="G10" s="2" t="s">
        <v>134</v>
      </c>
      <c r="H10" s="2" t="s">
        <v>75</v>
      </c>
      <c r="I10" s="2" t="s">
        <v>131</v>
      </c>
      <c r="J10" s="2" t="s">
        <v>133</v>
      </c>
      <c r="K10" s="2" t="s">
        <v>134</v>
      </c>
      <c r="L10" s="2"/>
      <c r="M10" s="2"/>
      <c r="N10" s="2"/>
    </row>
    <row r="11" customFormat="false" ht="12.8" hidden="false" customHeight="false" outlineLevel="0" collapsed="false">
      <c r="A11" s="2" t="s">
        <v>5</v>
      </c>
      <c r="B11" s="2" t="n">
        <f aca="false">r1!M6</f>
        <v>0.167</v>
      </c>
      <c r="C11" s="2" t="s">
        <v>186</v>
      </c>
      <c r="D11" s="2" t="n">
        <v>4</v>
      </c>
      <c r="E11" s="2" t="n">
        <v>8</v>
      </c>
      <c r="F11" s="2" t="n">
        <v>0</v>
      </c>
      <c r="G11" s="2" t="n">
        <v>0</v>
      </c>
      <c r="H11" s="2" t="n">
        <f aca="false">$B11*D11</f>
        <v>0.668000000000001</v>
      </c>
      <c r="I11" s="2" t="n">
        <f aca="false">$B11*E11</f>
        <v>1.336</v>
      </c>
      <c r="J11" s="2" t="n">
        <f aca="false">$B11*F11</f>
        <v>0</v>
      </c>
      <c r="K11" s="2" t="n">
        <f aca="false">$B11*G11</f>
        <v>0</v>
      </c>
      <c r="L11" s="2"/>
      <c r="M11" s="2"/>
      <c r="N11" s="2"/>
    </row>
    <row r="12" customFormat="false" ht="12.8" hidden="false" customHeight="false" outlineLevel="0" collapsed="false">
      <c r="A12" s="2" t="s">
        <v>22</v>
      </c>
      <c r="B12" s="2" t="n">
        <f aca="false">r1!M7</f>
        <v>34.4665020667615</v>
      </c>
      <c r="C12" s="2" t="s">
        <v>190</v>
      </c>
      <c r="D12" s="2" t="n">
        <v>4</v>
      </c>
      <c r="E12" s="2" t="n">
        <v>6</v>
      </c>
      <c r="F12" s="2" t="n">
        <v>1</v>
      </c>
      <c r="G12" s="2" t="n">
        <v>0</v>
      </c>
      <c r="H12" s="2" t="n">
        <f aca="false">$B12*D12</f>
        <v>137.866008267046</v>
      </c>
      <c r="I12" s="2" t="n">
        <f aca="false">$B12*E12</f>
        <v>206.799012400569</v>
      </c>
      <c r="J12" s="2" t="n">
        <f aca="false">$B12*F12</f>
        <v>34.4665020667615</v>
      </c>
      <c r="K12" s="2" t="n">
        <f aca="false">$B12*G12</f>
        <v>0</v>
      </c>
      <c r="L12" s="2"/>
      <c r="M12" s="2"/>
      <c r="N12" s="2"/>
    </row>
    <row r="13" customFormat="false" ht="12.8" hidden="false" customHeight="false" outlineLevel="0" collapsed="false">
      <c r="A13" s="2" t="s">
        <v>23</v>
      </c>
      <c r="B13" s="2" t="n">
        <f aca="false">r1!M8</f>
        <v>5.12342083333333</v>
      </c>
      <c r="C13" s="2" t="s">
        <v>23</v>
      </c>
      <c r="D13" s="2" t="n">
        <v>1</v>
      </c>
      <c r="E13" s="2" t="n">
        <v>0</v>
      </c>
      <c r="F13" s="2" t="n">
        <v>1</v>
      </c>
      <c r="G13" s="2" t="n">
        <v>0</v>
      </c>
      <c r="H13" s="2" t="n">
        <f aca="false">$B13*D13</f>
        <v>5.12342083333333</v>
      </c>
      <c r="I13" s="2" t="n">
        <f aca="false">$B13*E13</f>
        <v>0</v>
      </c>
      <c r="J13" s="2" t="n">
        <f aca="false">$B13*F13</f>
        <v>5.12342083333333</v>
      </c>
      <c r="K13" s="2" t="n">
        <f aca="false">$B13*G13</f>
        <v>0</v>
      </c>
      <c r="L13" s="2"/>
      <c r="M13" s="2"/>
      <c r="N13" s="2"/>
    </row>
    <row r="14" customFormat="false" ht="12.8" hidden="false" customHeight="false" outlineLevel="0" collapsed="false">
      <c r="A14" s="2" t="s">
        <v>25</v>
      </c>
      <c r="B14" s="2" t="n">
        <f aca="false">r1!M9</f>
        <v>1.45394375</v>
      </c>
      <c r="C14" s="2" t="s">
        <v>191</v>
      </c>
      <c r="D14" s="2" t="n">
        <v>4</v>
      </c>
      <c r="E14" s="2" t="n">
        <v>6</v>
      </c>
      <c r="F14" s="2" t="n">
        <v>2</v>
      </c>
      <c r="G14" s="2" t="n">
        <v>0</v>
      </c>
      <c r="H14" s="2" t="n">
        <f aca="false">$B14*D14</f>
        <v>5.815775</v>
      </c>
      <c r="I14" s="2" t="n">
        <f aca="false">$B14*E14</f>
        <v>8.7236625</v>
      </c>
      <c r="J14" s="2" t="n">
        <f aca="false">$B14*F14</f>
        <v>2.9078875</v>
      </c>
      <c r="K14" s="2" t="n">
        <f aca="false">$B14*G14</f>
        <v>0</v>
      </c>
      <c r="L14" s="2"/>
      <c r="M14" s="2"/>
      <c r="N14" s="2"/>
    </row>
    <row r="15" customFormat="false" ht="12.8" hidden="false" customHeight="false" outlineLevel="0" collapsed="false">
      <c r="A15" s="2" t="s">
        <v>26</v>
      </c>
      <c r="B15" s="2" t="n">
        <f aca="false">r1!M10</f>
        <v>1.45394375</v>
      </c>
      <c r="C15" s="2" t="s">
        <v>192</v>
      </c>
      <c r="D15" s="2" t="n">
        <v>2</v>
      </c>
      <c r="E15" s="2" t="n">
        <v>4</v>
      </c>
      <c r="F15" s="2" t="n">
        <v>2</v>
      </c>
      <c r="G15" s="2" t="n">
        <v>0</v>
      </c>
      <c r="H15" s="2" t="n">
        <f aca="false">$B15*D15</f>
        <v>2.9078875</v>
      </c>
      <c r="I15" s="2" t="n">
        <f aca="false">$B15*E15</f>
        <v>5.815775</v>
      </c>
      <c r="J15" s="2" t="n">
        <f aca="false">$B15*F15</f>
        <v>2.9078875</v>
      </c>
      <c r="K15" s="2" t="n">
        <f aca="false">$B15*G15</f>
        <v>0</v>
      </c>
      <c r="L15" s="2"/>
      <c r="M15" s="2"/>
      <c r="N15" s="2"/>
    </row>
    <row r="16" customFormat="false" ht="12.8" hidden="false" customHeight="false" outlineLevel="0" collapsed="false">
      <c r="A16" s="2" t="s">
        <v>27</v>
      </c>
      <c r="B16" s="2" t="n">
        <f aca="false">r1!M11</f>
        <v>0.830825</v>
      </c>
      <c r="C16" s="2" t="s">
        <v>193</v>
      </c>
      <c r="D16" s="2" t="n">
        <v>3</v>
      </c>
      <c r="E16" s="2" t="n">
        <v>2</v>
      </c>
      <c r="F16" s="2" t="n">
        <v>1</v>
      </c>
      <c r="G16" s="2" t="n">
        <v>0</v>
      </c>
      <c r="H16" s="2" t="n">
        <f aca="false">$B16*D16</f>
        <v>2.492475</v>
      </c>
      <c r="I16" s="2" t="n">
        <f aca="false">$B16*E16</f>
        <v>1.66165</v>
      </c>
      <c r="J16" s="2" t="n">
        <f aca="false">$B16*F16</f>
        <v>0.830825</v>
      </c>
      <c r="K16" s="2" t="n">
        <f aca="false">$B16*G16</f>
        <v>0</v>
      </c>
      <c r="L16" s="2"/>
      <c r="M16" s="2"/>
      <c r="N16" s="2"/>
    </row>
    <row r="17" customFormat="false" ht="12.8" hidden="false" customHeight="false" outlineLevel="0" collapsed="false">
      <c r="A17" s="2" t="s">
        <v>28</v>
      </c>
      <c r="B17" s="2" t="n">
        <f aca="false">r1!M12</f>
        <v>1.45394375</v>
      </c>
      <c r="C17" s="2" t="s">
        <v>194</v>
      </c>
      <c r="D17" s="2" t="n">
        <v>2</v>
      </c>
      <c r="E17" s="2" t="n">
        <v>4</v>
      </c>
      <c r="F17" s="2" t="n">
        <v>1</v>
      </c>
      <c r="G17" s="2" t="n">
        <v>0</v>
      </c>
      <c r="H17" s="2" t="n">
        <f aca="false">$B17*D17</f>
        <v>2.9078875</v>
      </c>
      <c r="I17" s="2" t="n">
        <f aca="false">$B17*E17</f>
        <v>5.815775</v>
      </c>
      <c r="J17" s="2" t="n">
        <f aca="false">$B17*F17</f>
        <v>1.45394375</v>
      </c>
      <c r="K17" s="2" t="n">
        <f aca="false">$B17*G17</f>
        <v>0</v>
      </c>
      <c r="L17" s="2"/>
      <c r="M17" s="2"/>
      <c r="N17" s="2"/>
    </row>
    <row r="18" customFormat="false" ht="12.8" hidden="false" customHeight="false" outlineLevel="0" collapsed="false">
      <c r="A18" s="2" t="s">
        <v>29</v>
      </c>
      <c r="B18" s="2" t="n">
        <f aca="false">r1!M13</f>
        <v>0.276941666666667</v>
      </c>
      <c r="C18" s="2" t="s">
        <v>195</v>
      </c>
      <c r="D18" s="2" t="n">
        <v>3</v>
      </c>
      <c r="E18" s="2" t="n">
        <v>4</v>
      </c>
      <c r="F18" s="2" t="n">
        <v>1</v>
      </c>
      <c r="G18" s="2" t="n">
        <v>0</v>
      </c>
      <c r="H18" s="2" t="n">
        <f aca="false">$B18*D18</f>
        <v>0.830825000000001</v>
      </c>
      <c r="I18" s="2" t="n">
        <f aca="false">$B18*E18</f>
        <v>1.10776666666667</v>
      </c>
      <c r="J18" s="2" t="n">
        <f aca="false">$B18*F18</f>
        <v>0.276941666666667</v>
      </c>
      <c r="K18" s="2" t="n">
        <f aca="false">$B18*G18</f>
        <v>0</v>
      </c>
      <c r="L18" s="2"/>
      <c r="M18" s="2"/>
      <c r="N18" s="2"/>
    </row>
    <row r="19" customFormat="false" ht="12.8" hidden="false" customHeight="false" outlineLevel="0" collapsed="false">
      <c r="A19" s="2" t="s">
        <v>30</v>
      </c>
      <c r="B19" s="2" t="n">
        <f aca="false">r1!M14</f>
        <v>0.20770625</v>
      </c>
      <c r="C19" s="2" t="s">
        <v>196</v>
      </c>
      <c r="D19" s="2" t="n">
        <v>1</v>
      </c>
      <c r="E19" s="2" t="n">
        <v>2</v>
      </c>
      <c r="F19" s="2" t="n">
        <v>1</v>
      </c>
      <c r="G19" s="2" t="n">
        <v>0</v>
      </c>
      <c r="H19" s="2" t="n">
        <f aca="false">$B19*D19</f>
        <v>0.20770625</v>
      </c>
      <c r="I19" s="2" t="n">
        <f aca="false">$B19*E19</f>
        <v>0.4154125</v>
      </c>
      <c r="J19" s="2" t="n">
        <f aca="false">$B19*F19</f>
        <v>0.20770625</v>
      </c>
      <c r="K19" s="2" t="n">
        <f aca="false">$B19*G19</f>
        <v>0</v>
      </c>
      <c r="L19" s="2"/>
      <c r="M19" s="2"/>
      <c r="N19" s="2"/>
    </row>
    <row r="20" customFormat="false" ht="12.8" hidden="false" customHeight="false" outlineLevel="0" collapsed="false">
      <c r="A20" s="2" t="s">
        <v>31</v>
      </c>
      <c r="B20" s="2" t="n">
        <f aca="false">r1!M15</f>
        <v>0.20770625</v>
      </c>
      <c r="C20" s="2" t="s">
        <v>197</v>
      </c>
      <c r="D20" s="2" t="n">
        <v>3</v>
      </c>
      <c r="E20" s="2" t="n">
        <v>4</v>
      </c>
      <c r="F20" s="2" t="n">
        <v>2</v>
      </c>
      <c r="G20" s="2" t="n">
        <v>0</v>
      </c>
      <c r="H20" s="2" t="n">
        <f aca="false">$B20*D20</f>
        <v>0.62311875</v>
      </c>
      <c r="I20" s="2" t="n">
        <f aca="false">$B20*E20</f>
        <v>0.830825</v>
      </c>
      <c r="J20" s="2" t="n">
        <f aca="false">$B20*F20</f>
        <v>0.4154125</v>
      </c>
      <c r="K20" s="2" t="n">
        <f aca="false">$B20*G20</f>
        <v>0</v>
      </c>
      <c r="L20" s="2"/>
      <c r="M20" s="2"/>
      <c r="N20" s="2"/>
    </row>
    <row r="21" customFormat="false" ht="12.8" hidden="false" customHeight="false" outlineLevel="0" collapsed="false">
      <c r="A21" s="2" t="s">
        <v>15</v>
      </c>
      <c r="B21" s="2" t="n">
        <f aca="false">r1!M16</f>
        <v>26.35</v>
      </c>
      <c r="C21" s="2" t="s">
        <v>15</v>
      </c>
      <c r="D21" s="2" t="n">
        <v>0</v>
      </c>
      <c r="E21" s="2" t="n">
        <v>0</v>
      </c>
      <c r="F21" s="2" t="n">
        <v>2</v>
      </c>
      <c r="G21" s="2" t="n">
        <v>0</v>
      </c>
      <c r="H21" s="2" t="n">
        <f aca="false">$B21*D21</f>
        <v>0</v>
      </c>
      <c r="I21" s="2" t="n">
        <f aca="false">$B21*E21</f>
        <v>0</v>
      </c>
      <c r="J21" s="2" t="n">
        <f aca="false">$B21*F21</f>
        <v>52.7</v>
      </c>
      <c r="K21" s="2" t="n">
        <f aca="false">$B21*G21</f>
        <v>0</v>
      </c>
      <c r="L21" s="2"/>
      <c r="M21" s="2"/>
      <c r="N21" s="2"/>
    </row>
    <row r="22" customFormat="false" ht="12.8" hidden="false" customHeight="false" outlineLevel="0" collapsed="false">
      <c r="A22" s="2" t="s">
        <v>16</v>
      </c>
      <c r="B22" s="2" t="n">
        <f aca="false">r1!M17</f>
        <v>296.045454545455</v>
      </c>
      <c r="C22" s="2" t="s">
        <v>16</v>
      </c>
      <c r="D22" s="2" t="n">
        <v>0</v>
      </c>
      <c r="E22" s="2" t="n">
        <v>0</v>
      </c>
      <c r="F22" s="2" t="n">
        <v>0</v>
      </c>
      <c r="G22" s="2" t="n">
        <v>2</v>
      </c>
      <c r="H22" s="2" t="n">
        <f aca="false">$B22*D22</f>
        <v>0</v>
      </c>
      <c r="I22" s="2" t="n">
        <f aca="false">$B22*E22</f>
        <v>0</v>
      </c>
      <c r="J22" s="2" t="n">
        <f aca="false">$B22*F22</f>
        <v>0</v>
      </c>
      <c r="K22" s="2" t="n">
        <f aca="false">$B22*G22</f>
        <v>592.090909090909</v>
      </c>
      <c r="L22" s="2"/>
      <c r="M22" s="2"/>
      <c r="N22" s="2"/>
    </row>
    <row r="23" customFormat="false" ht="12.8" hidden="false" customHeight="false" outlineLevel="0" collapsed="false">
      <c r="A23" s="2" t="s">
        <v>34</v>
      </c>
      <c r="B23" s="2" t="n">
        <v>0</v>
      </c>
      <c r="C23" s="2" t="s">
        <v>34</v>
      </c>
      <c r="D23" s="2" t="n">
        <v>1</v>
      </c>
      <c r="E23" s="2" t="n">
        <v>0</v>
      </c>
      <c r="F23" s="2" t="n">
        <v>2</v>
      </c>
      <c r="G23" s="2" t="n">
        <v>0</v>
      </c>
      <c r="H23" s="2" t="n">
        <f aca="false">$B23*D23</f>
        <v>0</v>
      </c>
      <c r="I23" s="2" t="n">
        <f aca="false">$B23*E23</f>
        <v>0</v>
      </c>
      <c r="J23" s="2" t="n">
        <f aca="false">$B23*F23</f>
        <v>0</v>
      </c>
      <c r="K23" s="2" t="n">
        <f aca="false">$B23*G23</f>
        <v>0</v>
      </c>
      <c r="L23" s="2"/>
      <c r="M23" s="2"/>
      <c r="N23" s="2"/>
    </row>
    <row r="24" customFormat="false" ht="12.8" hidden="false" customHeight="false" outlineLevel="0" collapsed="false">
      <c r="A24" s="2" t="s">
        <v>7</v>
      </c>
      <c r="B24" s="2" t="n">
        <v>0</v>
      </c>
      <c r="C24" s="2" t="s">
        <v>132</v>
      </c>
      <c r="D24" s="2" t="n">
        <v>0</v>
      </c>
      <c r="E24" s="2" t="n">
        <v>2</v>
      </c>
      <c r="F24" s="2" t="n">
        <v>1</v>
      </c>
      <c r="G24" s="2" t="n">
        <v>0</v>
      </c>
      <c r="H24" s="2" t="n">
        <f aca="false">$B24*D24</f>
        <v>0</v>
      </c>
      <c r="I24" s="2" t="n">
        <f aca="false">$B24*E24</f>
        <v>0</v>
      </c>
      <c r="J24" s="2" t="n">
        <f aca="false">$B24*F24</f>
        <v>0</v>
      </c>
      <c r="K24" s="2" t="n">
        <f aca="false">$B24*G24</f>
        <v>0</v>
      </c>
      <c r="L24" s="2"/>
      <c r="M24" s="2"/>
      <c r="N24" s="2"/>
    </row>
    <row r="25" customFormat="false" ht="12.8" hidden="false" customHeight="false" outlineLevel="0" collapsed="false">
      <c r="A25" s="2" t="s">
        <v>136</v>
      </c>
      <c r="B25" s="2" t="n">
        <v>0</v>
      </c>
      <c r="C25" s="2" t="s">
        <v>198</v>
      </c>
      <c r="D25" s="2" t="n">
        <v>1</v>
      </c>
      <c r="E25" s="2" t="n">
        <v>2</v>
      </c>
      <c r="F25" s="2" t="n">
        <v>2</v>
      </c>
      <c r="G25" s="2" t="n">
        <v>0</v>
      </c>
      <c r="H25" s="1" t="n">
        <v>0</v>
      </c>
      <c r="I25" s="1" t="n">
        <v>0</v>
      </c>
      <c r="J25" s="1" t="n">
        <v>0</v>
      </c>
      <c r="K25" s="1" t="n">
        <v>0</v>
      </c>
      <c r="L25" s="2"/>
      <c r="M25" s="2"/>
      <c r="N25" s="2"/>
    </row>
    <row r="26" customFormat="false" ht="12.8" hidden="false" customHeight="false" outlineLevel="0" collapsed="false">
      <c r="A26" s="2"/>
      <c r="B26" s="2"/>
      <c r="C26" s="2"/>
      <c r="D26" s="2"/>
      <c r="E26" s="2"/>
      <c r="F26" s="2"/>
      <c r="G26" s="2"/>
      <c r="H26" s="2" t="n">
        <f aca="false">SUM(H11:H25)</f>
        <v>159.44310410038</v>
      </c>
      <c r="I26" s="2" t="n">
        <f aca="false">SUM(I11:I25)</f>
        <v>232.505879067236</v>
      </c>
      <c r="J26" s="2" t="n">
        <f aca="false">SUM(J11:J25)</f>
        <v>101.290527066762</v>
      </c>
      <c r="K26" s="2" t="n">
        <f aca="false">SUM(K11:K25)</f>
        <v>592.090909090909</v>
      </c>
      <c r="L26" s="2"/>
      <c r="M26" s="2"/>
      <c r="N26" s="2"/>
    </row>
    <row r="27" customFormat="false" ht="12.8" hidden="false" customHeight="false" outlineLevel="0" collapsed="false">
      <c r="A27" s="2"/>
      <c r="B27" s="2"/>
      <c r="C27" s="2"/>
      <c r="D27" s="2"/>
      <c r="E27" s="2"/>
      <c r="F27" s="2"/>
      <c r="G27" s="2"/>
      <c r="H27" s="2"/>
      <c r="I27" s="2"/>
      <c r="J27" s="2"/>
      <c r="K27" s="2"/>
      <c r="L27" s="2"/>
      <c r="M27" s="2"/>
      <c r="N27" s="2"/>
    </row>
    <row r="28" customFormat="false" ht="12.8" hidden="false" customHeight="false" outlineLevel="0" collapsed="false">
      <c r="A28" s="2"/>
      <c r="B28" s="2"/>
      <c r="C28" s="2"/>
      <c r="D28" s="2"/>
      <c r="E28" s="2"/>
      <c r="F28" s="2"/>
      <c r="G28" s="2" t="s">
        <v>199</v>
      </c>
      <c r="H28" s="2" t="n">
        <f aca="false">H7-H26</f>
        <v>7.55689589962051</v>
      </c>
      <c r="I28" s="2" t="n">
        <f aca="false">I7-I26</f>
        <v>226.744120932764</v>
      </c>
      <c r="J28" s="2" t="n">
        <f aca="false">J7-J26</f>
        <v>128.334472933238</v>
      </c>
      <c r="K28" s="2" t="n">
        <f aca="false">K7-K26</f>
        <v>0</v>
      </c>
      <c r="L28" s="2"/>
      <c r="M28" s="2"/>
      <c r="N28" s="2"/>
    </row>
    <row r="29" customFormat="false" ht="12.8" hidden="false" customHeight="false" outlineLevel="0" collapsed="false">
      <c r="A29" s="2"/>
      <c r="B29" s="2"/>
      <c r="C29" s="2"/>
      <c r="D29" s="2"/>
      <c r="E29" s="2"/>
      <c r="F29" s="2"/>
      <c r="G29" s="1" t="s">
        <v>200</v>
      </c>
      <c r="H29" s="2"/>
      <c r="I29" s="2"/>
      <c r="J29" s="2"/>
      <c r="K29" s="2"/>
      <c r="L29" s="2"/>
      <c r="M29" s="2"/>
      <c r="N29" s="2"/>
    </row>
    <row r="30" customFormat="false" ht="12.8" hidden="false" customHeight="false" outlineLevel="0" collapsed="false">
      <c r="A30" s="2"/>
      <c r="B30" s="2"/>
      <c r="C30" s="2"/>
      <c r="D30" s="2"/>
      <c r="E30" s="2"/>
      <c r="F30" s="2"/>
      <c r="G30" s="2" t="s">
        <v>34</v>
      </c>
      <c r="H30" s="2" t="s">
        <v>201</v>
      </c>
      <c r="I30" s="2"/>
      <c r="J30" s="2"/>
      <c r="K30" s="2"/>
      <c r="L30" s="2"/>
      <c r="M30" s="2"/>
      <c r="N30" s="2"/>
    </row>
    <row r="31" customFormat="false" ht="12.8" hidden="false" customHeight="false" outlineLevel="0" collapsed="false">
      <c r="A31" s="2"/>
      <c r="B31" s="2"/>
      <c r="C31" s="2"/>
      <c r="D31" s="2"/>
      <c r="E31" s="2"/>
      <c r="F31" s="2"/>
      <c r="G31" s="2" t="s">
        <v>132</v>
      </c>
      <c r="H31" s="2" t="s">
        <v>202</v>
      </c>
      <c r="I31" s="2"/>
      <c r="J31" s="2"/>
      <c r="K31" s="2"/>
      <c r="L31" s="2"/>
      <c r="M31" s="2"/>
      <c r="N31" s="2"/>
    </row>
    <row r="32" customFormat="false" ht="12.8" hidden="false" customHeight="false" outlineLevel="0" collapsed="false">
      <c r="A32" s="2"/>
      <c r="B32" s="2"/>
      <c r="C32" s="2"/>
      <c r="D32" s="2"/>
      <c r="E32" s="2"/>
      <c r="F32" s="2"/>
      <c r="G32" s="2"/>
      <c r="H32" s="2"/>
      <c r="I32" s="2"/>
      <c r="J32" s="2"/>
      <c r="K32" s="2"/>
      <c r="L32" s="2"/>
      <c r="M32" s="2"/>
      <c r="N32" s="2"/>
    </row>
    <row r="33" customFormat="false" ht="12.8" hidden="false" customHeight="false" outlineLevel="0" collapsed="false">
      <c r="A33" s="2"/>
      <c r="B33" s="2"/>
      <c r="C33" s="2"/>
      <c r="D33" s="2"/>
      <c r="E33" s="2"/>
      <c r="F33" s="2"/>
      <c r="G33" s="2"/>
      <c r="H33" s="2"/>
      <c r="I33" s="2"/>
      <c r="J33" s="2"/>
      <c r="K33" s="2"/>
      <c r="L33" s="2"/>
      <c r="M33" s="2"/>
      <c r="N33" s="2"/>
    </row>
    <row r="34" customFormat="false" ht="12.8" hidden="false" customHeight="false" outlineLevel="0" collapsed="false">
      <c r="A34" s="2"/>
      <c r="B34" s="2"/>
      <c r="C34" s="2"/>
      <c r="D34" s="2"/>
      <c r="E34" s="2"/>
      <c r="F34" s="2" t="s">
        <v>75</v>
      </c>
      <c r="G34" s="2" t="s">
        <v>201</v>
      </c>
      <c r="H34" s="2" t="n">
        <f aca="false">H28</f>
        <v>7.55689589962051</v>
      </c>
      <c r="I34" s="2"/>
      <c r="J34" s="2"/>
      <c r="K34" s="2"/>
      <c r="L34" s="2"/>
      <c r="M34" s="2"/>
      <c r="N34" s="2"/>
    </row>
    <row r="35" customFormat="false" ht="12.8" hidden="false" customHeight="false" outlineLevel="0" collapsed="false">
      <c r="A35" s="2"/>
      <c r="B35" s="2"/>
      <c r="C35" s="2"/>
      <c r="D35" s="2"/>
      <c r="E35" s="2"/>
      <c r="F35" s="2" t="s">
        <v>131</v>
      </c>
      <c r="G35" s="2" t="s">
        <v>203</v>
      </c>
      <c r="H35" s="2" t="n">
        <f aca="false">I28</f>
        <v>226.744120932764</v>
      </c>
      <c r="I35" s="2" t="n">
        <f aca="false">H35/2</f>
        <v>113.372060466382</v>
      </c>
      <c r="J35" s="2"/>
      <c r="K35" s="2"/>
      <c r="L35" s="2"/>
      <c r="M35" s="2"/>
      <c r="N35" s="2"/>
    </row>
    <row r="36" customFormat="false" ht="12.8" hidden="false" customHeight="false" outlineLevel="0" collapsed="false">
      <c r="A36" s="2"/>
      <c r="B36" s="2"/>
      <c r="C36" s="2"/>
      <c r="D36" s="2"/>
      <c r="E36" s="2"/>
      <c r="F36" s="2" t="s">
        <v>133</v>
      </c>
      <c r="G36" s="2" t="s">
        <v>204</v>
      </c>
      <c r="H36" s="2" t="n">
        <f aca="false">J28</f>
        <v>128.334472933238</v>
      </c>
      <c r="I36" s="2" t="n">
        <f aca="false">I35+H34</f>
        <v>120.928956366003</v>
      </c>
      <c r="J36" s="2"/>
      <c r="K36" s="2"/>
      <c r="L36" s="2"/>
      <c r="M36" s="2"/>
      <c r="N36" s="2"/>
    </row>
    <row r="37" customFormat="false" ht="12.8" hidden="false" customHeight="false" outlineLevel="0" collapsed="false">
      <c r="A37" s="2"/>
      <c r="B37" s="2"/>
      <c r="C37" s="2"/>
      <c r="D37" s="2"/>
      <c r="E37" s="2"/>
      <c r="F37" s="2"/>
      <c r="G37" s="2"/>
      <c r="H37" s="2"/>
      <c r="I37" s="2"/>
      <c r="J37" s="2"/>
      <c r="K37" s="2"/>
      <c r="L37" s="2"/>
      <c r="M37" s="2"/>
      <c r="N37" s="2"/>
    </row>
    <row r="38" customFormat="false" ht="12.8" hidden="false" customHeight="false" outlineLevel="0" collapsed="false">
      <c r="A38" s="2"/>
      <c r="B38" s="2"/>
      <c r="C38" s="2"/>
      <c r="D38" s="2"/>
      <c r="E38" s="2"/>
      <c r="F38" s="2"/>
      <c r="G38" s="2"/>
      <c r="H38" s="2"/>
      <c r="I38" s="2"/>
      <c r="J38" s="2"/>
      <c r="K38" s="2"/>
      <c r="L38" s="2"/>
      <c r="M38" s="2"/>
      <c r="N38" s="2"/>
    </row>
    <row r="39" customFormat="false" ht="12.8" hidden="false" customHeight="false" outlineLevel="0" collapsed="false">
      <c r="A39" s="2"/>
      <c r="B39" s="2"/>
      <c r="C39" s="2"/>
      <c r="D39" s="2"/>
      <c r="E39" s="2"/>
      <c r="F39" s="2"/>
      <c r="G39" s="2"/>
      <c r="H39" s="2"/>
      <c r="I39" s="2"/>
      <c r="J39" s="2"/>
      <c r="K39" s="2"/>
      <c r="L39" s="2"/>
      <c r="M39" s="2"/>
      <c r="N39" s="2"/>
    </row>
    <row r="40" customFormat="false" ht="12.8" hidden="false" customHeight="false" outlineLevel="0" collapsed="false">
      <c r="A40" s="2"/>
      <c r="B40" s="2"/>
      <c r="C40" s="2"/>
      <c r="D40" s="2"/>
      <c r="E40" s="2"/>
      <c r="F40" s="2"/>
      <c r="G40" s="2"/>
      <c r="H40" s="2"/>
      <c r="I40" s="2"/>
      <c r="J40" s="2"/>
      <c r="K40" s="2"/>
      <c r="L40" s="2"/>
      <c r="M40" s="2"/>
      <c r="N40" s="2"/>
    </row>
    <row r="41" customFormat="false" ht="12.8" hidden="false" customHeight="false" outlineLevel="0" collapsed="false">
      <c r="A41" s="2"/>
      <c r="B41" s="2"/>
      <c r="C41" s="2"/>
      <c r="D41" s="2"/>
      <c r="E41" s="2"/>
      <c r="F41" s="2"/>
      <c r="G41" s="2"/>
      <c r="H41" s="2"/>
      <c r="I41" s="2"/>
      <c r="J41" s="2"/>
      <c r="K41" s="2"/>
      <c r="L41" s="2"/>
      <c r="M41" s="2"/>
      <c r="N41" s="2"/>
    </row>
    <row r="42" customFormat="false" ht="12.8" hidden="false" customHeight="false" outlineLevel="0" collapsed="false">
      <c r="A42" s="2"/>
      <c r="B42" s="2"/>
      <c r="C42" s="2"/>
      <c r="D42" s="2"/>
      <c r="E42" s="2"/>
      <c r="F42" s="2"/>
      <c r="G42" s="2"/>
      <c r="H42" s="2"/>
      <c r="I42" s="2"/>
      <c r="J42" s="2"/>
      <c r="K42" s="2"/>
      <c r="L42" s="2"/>
      <c r="M42" s="2"/>
      <c r="N42" s="2"/>
    </row>
    <row r="43" customFormat="false" ht="12.8" hidden="false" customHeight="false" outlineLevel="0" collapsed="false">
      <c r="A43" s="2"/>
      <c r="B43" s="2"/>
      <c r="C43" s="2"/>
      <c r="D43" s="2"/>
      <c r="E43" s="2"/>
      <c r="F43" s="2"/>
      <c r="G43" s="2"/>
      <c r="H43" s="2"/>
      <c r="I43" s="2"/>
      <c r="J43" s="2"/>
      <c r="K43" s="2"/>
      <c r="L43" s="2"/>
      <c r="M43" s="2"/>
      <c r="N43" s="2"/>
    </row>
    <row r="44" customFormat="false" ht="12.8" hidden="false" customHeight="false" outlineLevel="0" collapsed="false">
      <c r="A44" s="2"/>
      <c r="B44" s="2"/>
      <c r="C44" s="2"/>
      <c r="D44" s="2"/>
      <c r="E44" s="2"/>
      <c r="F44" s="2"/>
      <c r="G44" s="2"/>
      <c r="H44" s="2"/>
      <c r="I44" s="2"/>
      <c r="J44" s="2"/>
      <c r="K44" s="2"/>
      <c r="L44" s="2"/>
      <c r="M44" s="2"/>
      <c r="N44" s="2"/>
    </row>
    <row r="45" customFormat="false" ht="12.8" hidden="false" customHeight="false" outlineLevel="0" collapsed="false">
      <c r="A45" s="2"/>
      <c r="B45" s="2"/>
      <c r="C45" s="2"/>
      <c r="D45" s="2"/>
      <c r="E45" s="2"/>
      <c r="F45" s="2"/>
      <c r="G45" s="2"/>
      <c r="H45" s="2"/>
      <c r="I45" s="2"/>
      <c r="J45" s="2"/>
      <c r="K45" s="2"/>
      <c r="L45" s="2"/>
      <c r="M45" s="2"/>
      <c r="N45" s="2"/>
    </row>
    <row r="46" customFormat="false" ht="12.8" hidden="false" customHeight="false" outlineLevel="0" collapsed="false">
      <c r="A46" s="2"/>
      <c r="B46" s="2"/>
      <c r="C46" s="2"/>
      <c r="D46" s="2"/>
      <c r="E46" s="2"/>
      <c r="F46" s="2"/>
      <c r="G46" s="2"/>
      <c r="H46" s="2"/>
      <c r="I46" s="2"/>
      <c r="J46" s="2"/>
      <c r="K46" s="2"/>
      <c r="L46" s="2"/>
      <c r="M46" s="2"/>
      <c r="N46" s="2"/>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0"/>
  <sheetViews>
    <sheetView showFormulas="false" showGridLines="true" showRowColHeaders="true" showZeros="true" rightToLeft="false" tabSelected="false" showOutlineSymbols="true" defaultGridColor="true" view="normal" topLeftCell="H1" colorId="64" zoomScale="103" zoomScaleNormal="103" zoomScalePageLayoutView="100" workbookViewId="0">
      <selection pane="topLeft" activeCell="M5" activeCellId="1" sqref="B17:E31 M5"/>
    </sheetView>
  </sheetViews>
  <sheetFormatPr defaultColWidth="11.53515625" defaultRowHeight="15" zeroHeight="false" outlineLevelRow="0" outlineLevelCol="0"/>
  <cols>
    <col collapsed="false" customWidth="true" hidden="false" outlineLevel="0" max="1" min="1" style="27" width="15.14"/>
    <col collapsed="false" customWidth="true" hidden="false" outlineLevel="0" max="2" min="2" style="27" width="13.22"/>
    <col collapsed="false" customWidth="false" hidden="false" outlineLevel="0" max="5" min="3" style="27" width="11.53"/>
    <col collapsed="false" customWidth="true" hidden="false" outlineLevel="0" max="6" min="6" style="27" width="17.95"/>
    <col collapsed="false" customWidth="false" hidden="false" outlineLevel="0" max="11" min="7" style="27" width="11.53"/>
    <col collapsed="false" customWidth="true" hidden="false" outlineLevel="0" max="12" min="12" style="27" width="15.66"/>
    <col collapsed="false" customWidth="true" hidden="false" outlineLevel="0" max="13" min="13" style="27" width="17.61"/>
    <col collapsed="false" customWidth="true" hidden="false" outlineLevel="0" max="14" min="14" style="27" width="20.71"/>
    <col collapsed="false" customWidth="false" hidden="false" outlineLevel="0" max="15" min="15" style="27" width="11.53"/>
    <col collapsed="false" customWidth="true" hidden="false" outlineLevel="0" max="16" min="16" style="27" width="16.9"/>
    <col collapsed="false" customWidth="false" hidden="false" outlineLevel="0" max="21" min="17" style="27" width="11.53"/>
    <col collapsed="false" customWidth="true" hidden="false" outlineLevel="0" max="23" min="22" style="27" width="20.11"/>
    <col collapsed="false" customWidth="true" hidden="false" outlineLevel="0" max="24" min="24" style="27" width="13.74"/>
    <col collapsed="false" customWidth="true" hidden="false" outlineLevel="0" max="25" min="25" style="27" width="15.07"/>
    <col collapsed="false" customWidth="true" hidden="false" outlineLevel="0" max="26" min="26" style="27" width="21.48"/>
    <col collapsed="false" customWidth="true" hidden="false" outlineLevel="0" max="27" min="27" style="27" width="17.47"/>
    <col collapsed="false" customWidth="true" hidden="false" outlineLevel="0" max="28" min="28" style="27" width="17.78"/>
    <col collapsed="false" customWidth="true" hidden="false" outlineLevel="0" max="29" min="29" style="27" width="16.2"/>
    <col collapsed="false" customWidth="false" hidden="false" outlineLevel="0" max="30" min="30" style="27" width="11.53"/>
    <col collapsed="false" customWidth="true" hidden="false" outlineLevel="0" max="31" min="31" style="27" width="19.54"/>
    <col collapsed="false" customWidth="true" hidden="false" outlineLevel="0" max="32" min="32" style="27" width="17.78"/>
    <col collapsed="false" customWidth="false" hidden="false" outlineLevel="0" max="16384" min="33" style="27" width="11.53"/>
  </cols>
  <sheetData>
    <row r="1" customFormat="false" ht="12.8" hidden="false" customHeight="true" outlineLevel="0" collapsed="false">
      <c r="N1" s="47" t="s">
        <v>205</v>
      </c>
      <c r="O1" s="47"/>
      <c r="P1" s="47"/>
      <c r="Q1" s="47"/>
      <c r="R1" s="47"/>
      <c r="S1" s="47"/>
      <c r="T1" s="47"/>
      <c r="U1" s="47"/>
      <c r="V1" s="47"/>
      <c r="W1" s="47"/>
      <c r="X1" s="47"/>
      <c r="Y1" s="47"/>
      <c r="Z1" s="47"/>
      <c r="AA1" s="47"/>
      <c r="AB1" s="47"/>
      <c r="AC1" s="47"/>
    </row>
    <row r="2" customFormat="false" ht="15" hidden="false" customHeight="false" outlineLevel="0" collapsed="false">
      <c r="I2" s="48" t="s">
        <v>206</v>
      </c>
      <c r="J2" s="48"/>
      <c r="K2" s="48"/>
    </row>
    <row r="3" customFormat="false" ht="15" hidden="false" customHeight="false" outlineLevel="0" collapsed="false">
      <c r="U3" s="27" t="s">
        <v>207</v>
      </c>
    </row>
    <row r="5" customFormat="false" ht="15" hidden="false" customHeight="false" outlineLevel="0" collapsed="false">
      <c r="B5" s="27" t="s">
        <v>208</v>
      </c>
      <c r="C5" s="24" t="str">
        <f aca="false">r1!L5</f>
        <v>mol%</v>
      </c>
      <c r="D5" s="24" t="str">
        <f aca="false">r1!M5</f>
        <v>kmol/h</v>
      </c>
      <c r="E5" s="24" t="str">
        <f aca="false">r1!N5</f>
        <v>mw</v>
      </c>
      <c r="F5" s="24" t="str">
        <f aca="false">r1!O5</f>
        <v>kg/h</v>
      </c>
      <c r="G5" s="24"/>
      <c r="H5" s="24"/>
      <c r="M5" s="30"/>
      <c r="N5" s="30" t="str">
        <f aca="false">'stream compositions'!C67</f>
        <v>mol%</v>
      </c>
      <c r="O5" s="30" t="str">
        <f aca="false">'stream compositions'!D67</f>
        <v>kmol/h</v>
      </c>
      <c r="P5" s="30" t="str">
        <f aca="false">'stream compositions'!E67</f>
        <v>mw</v>
      </c>
      <c r="Q5" s="30" t="str">
        <f aca="false">'stream compositions'!F67</f>
        <v>kg/h</v>
      </c>
      <c r="R5" s="30" t="str">
        <f aca="false">'stream compositions'!G67</f>
        <v>wt%</v>
      </c>
      <c r="T5" s="24"/>
      <c r="U5" s="27" t="s">
        <v>209</v>
      </c>
    </row>
    <row r="6" customFormat="false" ht="15" hidden="false" customHeight="false" outlineLevel="0" collapsed="false">
      <c r="B6" s="27" t="str">
        <f aca="false">r1!K6</f>
        <v>IB</v>
      </c>
      <c r="C6" s="24" t="n">
        <f aca="false">r1!L6</f>
        <v>0.0341536798945931</v>
      </c>
      <c r="D6" s="24" t="n">
        <f aca="false">r1!M6</f>
        <v>0.167</v>
      </c>
      <c r="E6" s="24" t="n">
        <f aca="false">r1!N6</f>
        <v>56</v>
      </c>
      <c r="F6" s="24" t="n">
        <f aca="false">r1!O6</f>
        <v>3.60663068181818</v>
      </c>
      <c r="G6" s="24"/>
      <c r="H6" s="24"/>
      <c r="M6" s="27" t="str">
        <f aca="false">'stream compositions'!B68</f>
        <v>MAC</v>
      </c>
      <c r="N6" s="24" t="n">
        <v>0.7</v>
      </c>
      <c r="O6" s="24" t="n">
        <f aca="false">D7*(1-J7)</f>
        <v>7.58263045468754</v>
      </c>
      <c r="P6" s="24" t="n">
        <v>70</v>
      </c>
      <c r="Q6" s="24" t="n">
        <f aca="false">O6*P6</f>
        <v>530.784131828128</v>
      </c>
      <c r="R6" s="24" t="n">
        <f aca="false">Q6/$Q$20*100</f>
        <v>1.55575640821025</v>
      </c>
      <c r="V6" s="24"/>
      <c r="W6" s="24"/>
      <c r="Y6" s="24"/>
    </row>
    <row r="7" customFormat="false" ht="15" hidden="false" customHeight="false" outlineLevel="0" collapsed="false">
      <c r="B7" s="27" t="str">
        <f aca="false">r1!K7</f>
        <v>MAC</v>
      </c>
      <c r="C7" s="24" t="n">
        <f aca="false">r1!L7</f>
        <v>7.04884957290123</v>
      </c>
      <c r="D7" s="24" t="n">
        <f aca="false">r1!M7</f>
        <v>34.4665020667615</v>
      </c>
      <c r="E7" s="24" t="n">
        <f aca="false">r1!N7</f>
        <v>70</v>
      </c>
      <c r="F7" s="24" t="n">
        <f aca="false">r1!O7</f>
        <v>2412.65514467331</v>
      </c>
      <c r="G7" s="24"/>
      <c r="H7" s="24"/>
      <c r="I7" s="27" t="s">
        <v>18</v>
      </c>
      <c r="J7" s="27" t="n">
        <v>0.78</v>
      </c>
      <c r="M7" s="27" t="str">
        <f aca="false">'stream compositions'!B69</f>
        <v>CO</v>
      </c>
      <c r="N7" s="24" t="n">
        <v>1</v>
      </c>
      <c r="O7" s="24" t="n">
        <f aca="false">N7/100*$O$20</f>
        <v>10.8323292209822</v>
      </c>
      <c r="P7" s="24" t="n">
        <v>28</v>
      </c>
      <c r="Q7" s="24" t="n">
        <f aca="false">O7*P7</f>
        <v>303.305218187502</v>
      </c>
      <c r="R7" s="24" t="n">
        <f aca="false">Q7/$Q$20*100</f>
        <v>0.889003661834431</v>
      </c>
      <c r="U7" s="27" t="s">
        <v>82</v>
      </c>
      <c r="V7" s="24"/>
      <c r="W7" s="24"/>
      <c r="Y7" s="24"/>
    </row>
    <row r="8" customFormat="false" ht="15" hidden="false" customHeight="false" outlineLevel="0" collapsed="false">
      <c r="B8" s="27" t="str">
        <f aca="false">r1!K8</f>
        <v>CO</v>
      </c>
      <c r="C8" s="24" t="n">
        <f aca="false">r1!L8</f>
        <v>1.0478064377662</v>
      </c>
      <c r="D8" s="24" t="n">
        <f aca="false">r1!M8</f>
        <v>5.12342083333333</v>
      </c>
      <c r="E8" s="24" t="n">
        <f aca="false">r1!N8</f>
        <v>28</v>
      </c>
      <c r="F8" s="24" t="n">
        <f aca="false">r1!O8</f>
        <v>143.455783333333</v>
      </c>
      <c r="G8" s="24"/>
      <c r="H8" s="24"/>
      <c r="I8" s="27" t="s">
        <v>46</v>
      </c>
      <c r="J8" s="27" t="n">
        <v>0.85</v>
      </c>
      <c r="M8" s="27" t="str">
        <f aca="false">'stream compositions'!B70</f>
        <v>MAA</v>
      </c>
      <c r="N8" s="24" t="n">
        <v>2.28</v>
      </c>
      <c r="O8" s="24" t="n">
        <f aca="false">N8/100*$O$20</f>
        <v>24.6977106238394</v>
      </c>
      <c r="P8" s="24" t="n">
        <v>86</v>
      </c>
      <c r="Q8" s="24" t="n">
        <f aca="false">O8*P8</f>
        <v>2124.00311365019</v>
      </c>
      <c r="R8" s="24" t="n">
        <f aca="false">Q8/$Q$20*100</f>
        <v>6.2255656433034</v>
      </c>
      <c r="U8" s="27" t="s">
        <v>83</v>
      </c>
      <c r="V8" s="24"/>
      <c r="W8" s="24"/>
      <c r="Y8" s="24"/>
    </row>
    <row r="9" customFormat="false" ht="15" hidden="false" customHeight="false" outlineLevel="0" collapsed="false">
      <c r="B9" s="27" t="str">
        <f aca="false">r1!K9</f>
        <v>MAA</v>
      </c>
      <c r="C9" s="24" t="n">
        <f aca="false">r1!L9</f>
        <v>0.297350475582301</v>
      </c>
      <c r="D9" s="24" t="n">
        <f aca="false">r1!M9</f>
        <v>1.45394375</v>
      </c>
      <c r="E9" s="24" t="n">
        <f aca="false">r1!N9</f>
        <v>86</v>
      </c>
      <c r="F9" s="24" t="n">
        <f aca="false">r1!O9</f>
        <v>125.0391625</v>
      </c>
      <c r="G9" s="24"/>
      <c r="H9" s="24"/>
      <c r="I9" s="27" t="s">
        <v>47</v>
      </c>
      <c r="J9" s="27" t="n">
        <f aca="false">J8*J7</f>
        <v>0.663</v>
      </c>
      <c r="M9" s="27" t="str">
        <f aca="false">'stream compositions'!B71</f>
        <v>Acetic ac</v>
      </c>
      <c r="N9" s="24" t="n">
        <v>0.31</v>
      </c>
      <c r="O9" s="24" t="n">
        <f aca="false">N9/100*$O$20</f>
        <v>3.35802205850448</v>
      </c>
      <c r="P9" s="24" t="n">
        <v>60</v>
      </c>
      <c r="Q9" s="24" t="n">
        <f aca="false">O9*P9</f>
        <v>201.481323510269</v>
      </c>
      <c r="R9" s="24" t="n">
        <f aca="false">Q9/$Q$20*100</f>
        <v>0.5905524325043</v>
      </c>
      <c r="U9" s="27" t="s">
        <v>84</v>
      </c>
      <c r="V9" s="24"/>
      <c r="W9" s="24"/>
      <c r="Y9" s="24"/>
    </row>
    <row r="10" customFormat="false" ht="15" hidden="false" customHeight="false" outlineLevel="0" collapsed="false">
      <c r="B10" s="27" t="str">
        <f aca="false">r1!K10</f>
        <v>Acetic ac</v>
      </c>
      <c r="C10" s="24" t="n">
        <f aca="false">r1!L10</f>
        <v>0.297350475582301</v>
      </c>
      <c r="D10" s="24" t="n">
        <f aca="false">r1!M10</f>
        <v>1.45394375</v>
      </c>
      <c r="E10" s="24" t="n">
        <f aca="false">r1!N10</f>
        <v>60</v>
      </c>
      <c r="F10" s="24" t="n">
        <f aca="false">r1!O10</f>
        <v>87.236625</v>
      </c>
      <c r="G10" s="24"/>
      <c r="H10" s="24"/>
      <c r="M10" s="27" t="str">
        <f aca="false">'stream compositions'!B72</f>
        <v>acetone</v>
      </c>
      <c r="N10" s="24" t="n">
        <v>0.12</v>
      </c>
      <c r="O10" s="24" t="n">
        <f aca="false">N10/100*$O$20</f>
        <v>1.29987950651786</v>
      </c>
      <c r="P10" s="24" t="n">
        <v>58</v>
      </c>
      <c r="Q10" s="24" t="n">
        <f aca="false">O10*P10</f>
        <v>75.3930113780361</v>
      </c>
      <c r="R10" s="24" t="n">
        <f aca="false">Q10/$Q$20*100</f>
        <v>0.220980910227416</v>
      </c>
      <c r="U10" s="27" t="s">
        <v>86</v>
      </c>
      <c r="V10" s="24"/>
      <c r="W10" s="24"/>
      <c r="Y10" s="24"/>
    </row>
    <row r="11" customFormat="false" ht="15" hidden="false" customHeight="false" outlineLevel="0" collapsed="false">
      <c r="B11" s="27" t="str">
        <f aca="false">r1!K11</f>
        <v>acetone</v>
      </c>
      <c r="C11" s="24" t="n">
        <f aca="false">r1!L11</f>
        <v>0.169914557475601</v>
      </c>
      <c r="D11" s="24" t="n">
        <f aca="false">r1!M11</f>
        <v>0.830825</v>
      </c>
      <c r="E11" s="24" t="n">
        <f aca="false">r1!N11</f>
        <v>58</v>
      </c>
      <c r="F11" s="24" t="n">
        <f aca="false">r1!O11</f>
        <v>48.18785</v>
      </c>
      <c r="G11" s="24"/>
      <c r="H11" s="24"/>
      <c r="M11" s="27" t="str">
        <f aca="false">'stream compositions'!B73</f>
        <v>acetaldehyde</v>
      </c>
      <c r="N11" s="24" t="n">
        <v>0.21</v>
      </c>
      <c r="O11" s="24" t="n">
        <f aca="false">N11/100*$O$20</f>
        <v>2.27478913640626</v>
      </c>
      <c r="P11" s="24" t="n">
        <v>44</v>
      </c>
      <c r="Q11" s="24" t="n">
        <f aca="false">O11*P11</f>
        <v>100.090722001875</v>
      </c>
      <c r="R11" s="24" t="n">
        <f aca="false">Q11/$Q$20*100</f>
        <v>0.293371208405362</v>
      </c>
      <c r="U11" s="27" t="s">
        <v>88</v>
      </c>
      <c r="V11" s="24"/>
      <c r="W11" s="24"/>
      <c r="Y11" s="24"/>
    </row>
    <row r="12" customFormat="false" ht="15" hidden="false" customHeight="false" outlineLevel="0" collapsed="false">
      <c r="B12" s="27" t="str">
        <f aca="false">r1!K12</f>
        <v>acetalde</v>
      </c>
      <c r="C12" s="24" t="n">
        <f aca="false">r1!L12</f>
        <v>0.297350475582301</v>
      </c>
      <c r="D12" s="24" t="n">
        <f aca="false">r1!M12</f>
        <v>1.45394375</v>
      </c>
      <c r="E12" s="24" t="n">
        <f aca="false">r1!N12</f>
        <v>44</v>
      </c>
      <c r="F12" s="24" t="n">
        <f aca="false">r1!O12</f>
        <v>63.973525</v>
      </c>
      <c r="G12" s="24"/>
      <c r="H12" s="24"/>
      <c r="M12" s="27" t="str">
        <f aca="false">'stream compositions'!B74</f>
        <v>acrolein</v>
      </c>
      <c r="N12" s="24" t="n">
        <v>0.04</v>
      </c>
      <c r="O12" s="24" t="n">
        <f aca="false">N12/100*$O$20</f>
        <v>0.433293168839288</v>
      </c>
      <c r="P12" s="24" t="n">
        <v>56</v>
      </c>
      <c r="Q12" s="24" t="n">
        <f aca="false">O12*P12</f>
        <v>24.2644174550001</v>
      </c>
      <c r="R12" s="24" t="n">
        <f aca="false">Q12/$Q$20*100</f>
        <v>0.0711202929467544</v>
      </c>
      <c r="U12" s="27" t="s">
        <v>89</v>
      </c>
      <c r="V12" s="24"/>
      <c r="W12" s="24"/>
      <c r="Y12" s="24"/>
    </row>
    <row r="13" customFormat="false" ht="15" hidden="false" customHeight="false" outlineLevel="0" collapsed="false">
      <c r="B13" s="27" t="str">
        <f aca="false">r1!K13</f>
        <v>acrolein</v>
      </c>
      <c r="C13" s="24" t="n">
        <f aca="false">r1!L13</f>
        <v>0.0566381858252003</v>
      </c>
      <c r="D13" s="24" t="n">
        <f aca="false">r1!M13</f>
        <v>0.276941666666667</v>
      </c>
      <c r="E13" s="24" t="n">
        <f aca="false">r1!N13</f>
        <v>56</v>
      </c>
      <c r="F13" s="24" t="n">
        <f aca="false">r1!O13</f>
        <v>15.5087333333334</v>
      </c>
      <c r="G13" s="24"/>
      <c r="H13" s="24"/>
      <c r="M13" s="27" t="str">
        <f aca="false">'stream compositions'!B75</f>
        <v>formaldehyde</v>
      </c>
      <c r="N13" s="24" t="n">
        <v>0.03</v>
      </c>
      <c r="O13" s="24" t="n">
        <f aca="false">N13/100*$O$20</f>
        <v>0.324969876629466</v>
      </c>
      <c r="P13" s="24" t="n">
        <v>30</v>
      </c>
      <c r="Q13" s="24" t="n">
        <f aca="false">O13*P13</f>
        <v>9.74909629888398</v>
      </c>
      <c r="R13" s="24" t="n">
        <f aca="false">Q13/$Q$20*100</f>
        <v>0.028575117701821</v>
      </c>
      <c r="V13" s="24"/>
      <c r="W13" s="24"/>
      <c r="Y13" s="24"/>
    </row>
    <row r="14" customFormat="false" ht="15" hidden="false" customHeight="false" outlineLevel="0" collapsed="false">
      <c r="B14" s="27" t="str">
        <f aca="false">r1!K14</f>
        <v>formaldehyde</v>
      </c>
      <c r="C14" s="24" t="n">
        <f aca="false">r1!L14</f>
        <v>0.0424786393689002</v>
      </c>
      <c r="D14" s="24" t="n">
        <f aca="false">r1!M14</f>
        <v>0.20770625</v>
      </c>
      <c r="E14" s="24" t="n">
        <f aca="false">r1!N14</f>
        <v>30</v>
      </c>
      <c r="F14" s="24" t="n">
        <f aca="false">r1!O14</f>
        <v>6.2311875</v>
      </c>
      <c r="G14" s="24"/>
      <c r="H14" s="24"/>
      <c r="M14" s="27" t="str">
        <f aca="false">'stream compositions'!B76</f>
        <v>acrylic acid</v>
      </c>
      <c r="N14" s="24" t="n">
        <v>0.03</v>
      </c>
      <c r="O14" s="24" t="n">
        <f aca="false">N14/100*$O$20</f>
        <v>0.324969876629466</v>
      </c>
      <c r="P14" s="24" t="n">
        <v>72</v>
      </c>
      <c r="Q14" s="24" t="n">
        <f aca="false">O14*P14</f>
        <v>23.3978311173215</v>
      </c>
      <c r="R14" s="24" t="n">
        <f aca="false">Q14/$Q$20*100</f>
        <v>0.0685802824843704</v>
      </c>
      <c r="U14" s="27" t="s">
        <v>210</v>
      </c>
      <c r="V14" s="24"/>
      <c r="W14" s="24"/>
      <c r="Y14" s="24"/>
    </row>
    <row r="15" customFormat="false" ht="15" hidden="false" customHeight="false" outlineLevel="0" collapsed="false">
      <c r="B15" s="27" t="str">
        <f aca="false">r1!K15</f>
        <v>acrylic acid</v>
      </c>
      <c r="C15" s="24" t="n">
        <f aca="false">r1!L15</f>
        <v>0.0424786393689002</v>
      </c>
      <c r="D15" s="24" t="n">
        <f aca="false">r1!M15</f>
        <v>0.20770625</v>
      </c>
      <c r="E15" s="24" t="n">
        <f aca="false">r1!N15</f>
        <v>72</v>
      </c>
      <c r="F15" s="24" t="n">
        <f aca="false">r1!O15</f>
        <v>14.95485</v>
      </c>
      <c r="G15" s="24"/>
      <c r="H15" s="24"/>
      <c r="M15" s="27" t="str">
        <f aca="false">'stream compositions'!B77</f>
        <v>oxygen</v>
      </c>
      <c r="N15" s="24" t="n">
        <v>6.5</v>
      </c>
      <c r="O15" s="24" t="n">
        <f aca="false">N15/100*$O$20</f>
        <v>70.4101399363843</v>
      </c>
      <c r="P15" s="24" t="n">
        <v>32</v>
      </c>
      <c r="Q15" s="24" t="n">
        <f aca="false">O15*P15</f>
        <v>2253.1244779643</v>
      </c>
      <c r="R15" s="24" t="n">
        <f aca="false">Q15/$Q$20*100</f>
        <v>6.60402720219863</v>
      </c>
      <c r="V15" s="24"/>
      <c r="W15" s="24"/>
      <c r="Y15" s="24"/>
    </row>
    <row r="16" customFormat="false" ht="15" hidden="false" customHeight="false" outlineLevel="0" collapsed="false">
      <c r="B16" s="27" t="str">
        <f aca="false">r1!K16</f>
        <v>O2</v>
      </c>
      <c r="C16" s="24" t="n">
        <f aca="false">r1!L16</f>
        <v>5.38891895342831</v>
      </c>
      <c r="D16" s="24" t="n">
        <f aca="false">r1!M16</f>
        <v>26.35</v>
      </c>
      <c r="E16" s="24" t="n">
        <f aca="false">r1!N16</f>
        <v>32</v>
      </c>
      <c r="F16" s="24" t="n">
        <f aca="false">r1!O16</f>
        <v>843.2</v>
      </c>
      <c r="G16" s="24"/>
      <c r="H16" s="24"/>
      <c r="M16" s="49" t="str">
        <f aca="false">'stream compositions'!B78</f>
        <v>steam</v>
      </c>
      <c r="N16" s="50" t="n">
        <f aca="false">O16/$O$20*100</f>
        <v>18.9837714285714</v>
      </c>
      <c r="O16" s="50" t="n">
        <f aca="false">Q16/P16</f>
        <v>205.638461970161</v>
      </c>
      <c r="P16" s="50" t="n">
        <v>18</v>
      </c>
      <c r="Q16" s="50" t="n">
        <f aca="false">quencher!F22</f>
        <v>3701.4923154629</v>
      </c>
      <c r="R16" s="50" t="n">
        <f aca="false">Q16/$Q$20*100</f>
        <v>10.8492700599179</v>
      </c>
      <c r="U16" s="27" t="s">
        <v>211</v>
      </c>
      <c r="V16" s="27" t="s">
        <v>212</v>
      </c>
      <c r="W16" s="24" t="s">
        <v>213</v>
      </c>
      <c r="X16" s="24" t="s">
        <v>214</v>
      </c>
      <c r="Y16" s="27" t="s">
        <v>215</v>
      </c>
      <c r="Z16" s="27" t="s">
        <v>216</v>
      </c>
      <c r="AA16" s="27" t="s">
        <v>217</v>
      </c>
      <c r="AC16" s="27" t="s">
        <v>218</v>
      </c>
    </row>
    <row r="17" customFormat="false" ht="15" hidden="false" customHeight="false" outlineLevel="0" collapsed="false">
      <c r="B17" s="27" t="str">
        <f aca="false">r1!K17</f>
        <v>N2</v>
      </c>
      <c r="C17" s="24" t="n">
        <f aca="false">r1!L17</f>
        <v>60.5451598131423</v>
      </c>
      <c r="D17" s="24" t="n">
        <f aca="false">r1!M17</f>
        <v>296.045454545455</v>
      </c>
      <c r="E17" s="24" t="n">
        <f aca="false">r1!N17</f>
        <v>28</v>
      </c>
      <c r="F17" s="24" t="n">
        <f aca="false">r1!O17</f>
        <v>8289.27272727273</v>
      </c>
      <c r="G17" s="24"/>
      <c r="H17" s="24"/>
      <c r="M17" s="27" t="str">
        <f aca="false">'stream compositions'!B79</f>
        <v>CO2</v>
      </c>
      <c r="N17" s="24" t="n">
        <f aca="false">O17/$O$20*100</f>
        <v>3.32358587408483</v>
      </c>
      <c r="O17" s="24" t="n">
        <f aca="false">Q17/P17</f>
        <v>36.0021763822927</v>
      </c>
      <c r="P17" s="24" t="n">
        <v>44</v>
      </c>
      <c r="Q17" s="24" t="n">
        <f aca="false">quencher!F23</f>
        <v>1584.09576082088</v>
      </c>
      <c r="R17" s="24" t="n">
        <f aca="false">Q17/$Q$20*100</f>
        <v>4.64306859104408</v>
      </c>
      <c r="U17" s="27" t="s">
        <v>5</v>
      </c>
      <c r="V17" s="27" t="s">
        <v>55</v>
      </c>
      <c r="W17" s="24" t="n">
        <v>1</v>
      </c>
      <c r="X17" s="24" t="n">
        <v>1</v>
      </c>
      <c r="Y17" s="27" t="n">
        <v>1</v>
      </c>
      <c r="Z17" s="24" t="n">
        <f aca="false">Q26</f>
        <v>0.469054506517863</v>
      </c>
      <c r="AA17" s="24" t="n">
        <f aca="false">W17*Z17</f>
        <v>0.469054506517863</v>
      </c>
      <c r="AB17" s="24"/>
      <c r="AC17" s="27" t="s">
        <v>219</v>
      </c>
      <c r="AD17" s="27" t="s">
        <v>212</v>
      </c>
      <c r="AE17" s="27" t="s">
        <v>220</v>
      </c>
      <c r="AF17" s="27" t="s">
        <v>221</v>
      </c>
      <c r="AG17" s="27" t="s">
        <v>222</v>
      </c>
    </row>
    <row r="18" customFormat="false" ht="15" hidden="false" customHeight="false" outlineLevel="0" collapsed="false">
      <c r="B18" s="27" t="str">
        <f aca="false">r1!K18</f>
        <v>CO2</v>
      </c>
      <c r="C18" s="24" t="n">
        <f aca="false">r1!L18</f>
        <v>1.5454838536072</v>
      </c>
      <c r="D18" s="24" t="n">
        <f aca="false">r1!M18</f>
        <v>7.55689589962051</v>
      </c>
      <c r="E18" s="24" t="n">
        <f aca="false">r1!N18</f>
        <v>44</v>
      </c>
      <c r="F18" s="24" t="n">
        <f aca="false">r1!O18</f>
        <v>332.503419583303</v>
      </c>
      <c r="G18" s="24"/>
      <c r="H18" s="24"/>
      <c r="M18" s="27" t="str">
        <f aca="false">'stream compositions'!B80</f>
        <v>N2</v>
      </c>
      <c r="N18" s="24" t="n">
        <f aca="false">O18/$O$20*100</f>
        <v>76.4252654692277</v>
      </c>
      <c r="O18" s="24" t="n">
        <f aca="false">I23+D17</f>
        <v>827.863636363636</v>
      </c>
      <c r="P18" s="24" t="n">
        <v>28</v>
      </c>
      <c r="Q18" s="24" t="n">
        <f aca="false">O18*P18</f>
        <v>23180.1818181818</v>
      </c>
      <c r="R18" s="24" t="n">
        <f aca="false">Q18/$Q$20*100</f>
        <v>67.9423408588119</v>
      </c>
      <c r="U18" s="27" t="s">
        <v>22</v>
      </c>
      <c r="V18" s="27" t="s">
        <v>223</v>
      </c>
      <c r="W18" s="24" t="n">
        <v>3</v>
      </c>
      <c r="X18" s="24" t="n">
        <v>1</v>
      </c>
      <c r="Y18" s="27" t="n">
        <v>1</v>
      </c>
      <c r="Z18" s="24" t="n">
        <f aca="false">Q27</f>
        <v>1.90407830850448</v>
      </c>
      <c r="AA18" s="24" t="n">
        <f aca="false">W18*Z18</f>
        <v>5.71223492551344</v>
      </c>
      <c r="AC18" s="27" t="s">
        <v>30</v>
      </c>
      <c r="AD18" s="27" t="s">
        <v>224</v>
      </c>
      <c r="AE18" s="27" t="n">
        <v>0.5</v>
      </c>
      <c r="AF18" s="51" t="n">
        <f aca="false">O10-O13</f>
        <v>0.974909629888398</v>
      </c>
      <c r="AG18" s="24" t="n">
        <f aca="false">AF18*AE18</f>
        <v>0.487454814944199</v>
      </c>
    </row>
    <row r="19" customFormat="false" ht="15" hidden="false" customHeight="false" outlineLevel="0" collapsed="false">
      <c r="B19" s="27" t="str">
        <f aca="false">r1!K19</f>
        <v>steam</v>
      </c>
      <c r="C19" s="24" t="n">
        <f aca="false">r1!L19</f>
        <v>23.1860662404747</v>
      </c>
      <c r="D19" s="24" t="n">
        <f aca="false">r1!M19</f>
        <v>113.372060466382</v>
      </c>
      <c r="E19" s="24" t="n">
        <f aca="false">r1!N19</f>
        <v>18</v>
      </c>
      <c r="F19" s="24" t="n">
        <f aca="false">r1!O19</f>
        <v>2040.69708839488</v>
      </c>
      <c r="G19" s="24"/>
      <c r="H19" s="24"/>
      <c r="M19" s="27" t="s">
        <v>225</v>
      </c>
      <c r="N19" s="31" t="n">
        <f aca="false">O19/$O$20*100</f>
        <v>0.00337487091222031</v>
      </c>
      <c r="O19" s="31" t="n">
        <f aca="false">Q19/P19</f>
        <v>0.0365577127994869</v>
      </c>
      <c r="P19" s="24" t="n">
        <v>166</v>
      </c>
      <c r="Q19" s="24" t="n">
        <f aca="false">quencher!F25</f>
        <v>6.06858032471483</v>
      </c>
      <c r="R19" s="24" t="n">
        <f aca="false">Q19/$Q$20*100</f>
        <v>0.0177873304094383</v>
      </c>
      <c r="U19" s="27" t="s">
        <v>22</v>
      </c>
      <c r="V19" s="27" t="s">
        <v>115</v>
      </c>
      <c r="W19" s="24" t="n">
        <v>2</v>
      </c>
      <c r="X19" s="24" t="n">
        <v>1</v>
      </c>
      <c r="Y19" s="27" t="n">
        <v>1</v>
      </c>
      <c r="Z19" s="24" t="n">
        <f aca="false">Q28</f>
        <v>0.117263626629466</v>
      </c>
      <c r="AA19" s="24" t="n">
        <f aca="false">W19*Z19</f>
        <v>0.234527253258932</v>
      </c>
    </row>
    <row r="20" customFormat="false" ht="15" hidden="false" customHeight="false" outlineLevel="0" collapsed="false">
      <c r="B20" s="27" t="str">
        <f aca="false">r1!K20</f>
        <v>formic acid</v>
      </c>
      <c r="C20" s="24" t="n">
        <f aca="false">r1!L20</f>
        <v>0</v>
      </c>
      <c r="D20" s="24" t="n">
        <f aca="false">r1!M20</f>
        <v>0</v>
      </c>
      <c r="E20" s="24" t="n">
        <f aca="false">r1!N20</f>
        <v>46</v>
      </c>
      <c r="F20" s="24" t="n">
        <f aca="false">r1!O20</f>
        <v>0</v>
      </c>
      <c r="G20" s="24"/>
      <c r="H20" s="24"/>
      <c r="M20" s="27" t="str">
        <f aca="false">'stream compositions'!B82</f>
        <v>Total</v>
      </c>
      <c r="N20" s="24"/>
      <c r="O20" s="24" t="n">
        <f aca="false">O6/N6%</f>
        <v>1083.23292209822</v>
      </c>
      <c r="P20" s="24"/>
      <c r="Q20" s="24" t="n">
        <f aca="false">F21+K24</f>
        <v>34117.4318181818</v>
      </c>
      <c r="R20" s="24"/>
      <c r="V20" s="27" t="s">
        <v>114</v>
      </c>
      <c r="W20" s="24" t="n">
        <f aca="false">4</f>
        <v>4</v>
      </c>
      <c r="X20" s="24" t="n">
        <v>2</v>
      </c>
      <c r="Y20" s="24" t="n">
        <v>1</v>
      </c>
      <c r="Z20" s="24" t="n">
        <f aca="false">Q29</f>
        <v>0.156351502172621</v>
      </c>
      <c r="AA20" s="24" t="n">
        <f aca="false">W20*Z20</f>
        <v>0.625406008690484</v>
      </c>
      <c r="AB20" s="24"/>
    </row>
    <row r="21" customFormat="false" ht="15" hidden="false" customHeight="false" outlineLevel="0" collapsed="false">
      <c r="B21" s="27" t="str">
        <f aca="false">r1!K21</f>
        <v>total</v>
      </c>
      <c r="C21" s="24" t="n">
        <f aca="false">r1!L21</f>
        <v>100</v>
      </c>
      <c r="D21" s="24" t="n">
        <f aca="false">r1!M21</f>
        <v>488.966344228219</v>
      </c>
      <c r="E21" s="24" t="n">
        <f aca="false">r1!N21</f>
        <v>0</v>
      </c>
      <c r="F21" s="24" t="n">
        <f aca="false">r1!O21</f>
        <v>14426.5227272727</v>
      </c>
      <c r="H21" s="52" t="str">
        <f aca="false">U35</f>
        <v>PG 3</v>
      </c>
      <c r="I21" s="53" t="str">
        <f aca="false">V35</f>
        <v>kmol/h</v>
      </c>
      <c r="J21" s="53" t="str">
        <f aca="false">W35</f>
        <v>MW</v>
      </c>
      <c r="K21" s="53" t="str">
        <f aca="false">X35</f>
        <v>kg/h</v>
      </c>
      <c r="L21" s="54" t="n">
        <f aca="false">Y35</f>
        <v>0</v>
      </c>
      <c r="O21" s="24"/>
      <c r="P21" s="24"/>
      <c r="Q21" s="24"/>
      <c r="R21" s="24"/>
      <c r="S21" s="24"/>
      <c r="U21" s="27" t="s">
        <v>22</v>
      </c>
      <c r="V21" s="27" t="s">
        <v>113</v>
      </c>
      <c r="W21" s="27" t="n">
        <v>2.5</v>
      </c>
      <c r="X21" s="27" t="n">
        <v>1</v>
      </c>
      <c r="Y21" s="27" t="n">
        <v>1</v>
      </c>
      <c r="Z21" s="24" t="n">
        <f aca="false">Q30</f>
        <v>0.820845386406261</v>
      </c>
      <c r="AA21" s="24" t="n">
        <f aca="false">W21*Z21</f>
        <v>2.05211346601565</v>
      </c>
    </row>
    <row r="22" customFormat="false" ht="15" hidden="false" customHeight="false" outlineLevel="0" collapsed="false">
      <c r="H22" s="55" t="str">
        <f aca="false">U36</f>
        <v>O2</v>
      </c>
      <c r="I22" s="24" t="n">
        <f aca="false">V36</f>
        <v>150</v>
      </c>
      <c r="J22" s="27" t="n">
        <f aca="false">W36</f>
        <v>32</v>
      </c>
      <c r="K22" s="24" t="n">
        <f aca="false">X36</f>
        <v>4800</v>
      </c>
      <c r="L22" s="56" t="n">
        <f aca="false">Y36</f>
        <v>0</v>
      </c>
      <c r="O22" s="24"/>
      <c r="P22" s="37"/>
      <c r="R22" s="37" t="n">
        <f aca="false">SUM(Q6:Q19)</f>
        <v>34117.4318181818</v>
      </c>
      <c r="V22" s="27" t="s">
        <v>30</v>
      </c>
      <c r="W22" s="27" t="n">
        <v>1</v>
      </c>
      <c r="X22" s="27" t="n">
        <v>1</v>
      </c>
      <c r="Y22" s="27" t="n">
        <v>1</v>
      </c>
      <c r="Z22" s="24" t="n">
        <f aca="false">Q31</f>
        <v>0.117263626629466</v>
      </c>
      <c r="AA22" s="24" t="n">
        <f aca="false">W22*Z22</f>
        <v>0.117263626629466</v>
      </c>
    </row>
    <row r="23" customFormat="false" ht="15" hidden="false" customHeight="false" outlineLevel="0" collapsed="false">
      <c r="H23" s="55" t="str">
        <f aca="false">U37</f>
        <v>N2</v>
      </c>
      <c r="I23" s="24" t="n">
        <f aca="false">V37</f>
        <v>531.818181818182</v>
      </c>
      <c r="J23" s="27" t="n">
        <f aca="false">W37</f>
        <v>28</v>
      </c>
      <c r="K23" s="24" t="n">
        <f aca="false">X37</f>
        <v>14890.9090909091</v>
      </c>
      <c r="L23" s="56" t="n">
        <f aca="false">Y37</f>
        <v>0</v>
      </c>
    </row>
    <row r="24" customFormat="false" ht="15" hidden="false" customHeight="false" outlineLevel="0" collapsed="false">
      <c r="C24" s="24"/>
      <c r="D24" s="24"/>
      <c r="E24" s="24"/>
      <c r="F24" s="24"/>
      <c r="H24" s="57"/>
      <c r="I24" s="35" t="n">
        <f aca="false">V38</f>
        <v>681.818181818182</v>
      </c>
      <c r="J24" s="58"/>
      <c r="K24" s="35" t="n">
        <f aca="false">X38</f>
        <v>19690.9090909091</v>
      </c>
      <c r="L24" s="59" t="n">
        <f aca="false">Y38</f>
        <v>472581.818181818</v>
      </c>
      <c r="AA24" s="24" t="n">
        <f aca="false">SUM(AA17:AA22)</f>
        <v>9.21059978662584</v>
      </c>
    </row>
    <row r="25" customFormat="false" ht="15" hidden="false" customHeight="false" outlineLevel="0" collapsed="false">
      <c r="C25" s="24"/>
      <c r="D25" s="24"/>
      <c r="E25" s="24"/>
      <c r="F25" s="24"/>
      <c r="N25" s="52" t="s">
        <v>226</v>
      </c>
      <c r="O25" s="53" t="s">
        <v>125</v>
      </c>
      <c r="P25" s="53" t="s">
        <v>227</v>
      </c>
      <c r="Q25" s="54" t="s">
        <v>228</v>
      </c>
      <c r="U25" s="27" t="s">
        <v>229</v>
      </c>
    </row>
    <row r="26" s="61" customFormat="true" ht="15" hidden="false" customHeight="false" outlineLevel="0" collapsed="false">
      <c r="A26" s="27"/>
      <c r="B26" s="27"/>
      <c r="C26" s="24"/>
      <c r="D26" s="24"/>
      <c r="E26" s="24"/>
      <c r="F26" s="24"/>
      <c r="G26" s="27"/>
      <c r="H26" s="27"/>
      <c r="I26" s="27"/>
      <c r="J26" s="27"/>
      <c r="K26" s="27"/>
      <c r="L26" s="27"/>
      <c r="M26" s="27"/>
      <c r="N26" s="55" t="s">
        <v>55</v>
      </c>
      <c r="O26" s="24" t="n">
        <f aca="false">D11</f>
        <v>0.830825</v>
      </c>
      <c r="P26" s="24" t="n">
        <f aca="false">O10</f>
        <v>1.29987950651786</v>
      </c>
      <c r="Q26" s="60" t="n">
        <f aca="false">P26-O26</f>
        <v>0.469054506517863</v>
      </c>
      <c r="R26" s="27"/>
      <c r="S26" s="27"/>
      <c r="T26" s="27"/>
      <c r="U26" s="24" t="n">
        <f aca="false">D7*J7*0.5</f>
        <v>13.441935806037</v>
      </c>
      <c r="V26" s="27"/>
      <c r="W26" s="27"/>
      <c r="X26" s="27"/>
      <c r="Y26" s="27"/>
      <c r="Z26" s="27"/>
      <c r="AA26" s="27"/>
      <c r="AB26" s="27"/>
      <c r="AC26" s="27"/>
      <c r="AD26" s="27"/>
      <c r="AE26" s="27"/>
      <c r="AF26" s="27"/>
      <c r="AG26" s="27"/>
    </row>
    <row r="27" customFormat="false" ht="15" hidden="false" customHeight="false" outlineLevel="0" collapsed="false">
      <c r="C27" s="24"/>
      <c r="D27" s="24"/>
      <c r="E27" s="24"/>
      <c r="F27" s="24"/>
      <c r="N27" s="55" t="s">
        <v>223</v>
      </c>
      <c r="O27" s="24" t="n">
        <f aca="false">D10</f>
        <v>1.45394375</v>
      </c>
      <c r="P27" s="24" t="n">
        <f aca="false">O9</f>
        <v>3.35802205850448</v>
      </c>
      <c r="Q27" s="60" t="n">
        <f aca="false">P27-O27</f>
        <v>1.90407830850448</v>
      </c>
      <c r="U27" s="27" t="s">
        <v>230</v>
      </c>
    </row>
    <row r="28" customFormat="false" ht="15" hidden="false" customHeight="false" outlineLevel="0" collapsed="false">
      <c r="C28" s="24"/>
      <c r="D28" s="24"/>
      <c r="E28" s="24"/>
      <c r="F28" s="24"/>
      <c r="N28" s="55" t="s">
        <v>115</v>
      </c>
      <c r="O28" s="24" t="n">
        <f aca="false">D15</f>
        <v>0.20770625</v>
      </c>
      <c r="P28" s="24" t="n">
        <f aca="false">O14</f>
        <v>0.324969876629466</v>
      </c>
      <c r="Q28" s="60" t="n">
        <f aca="false">P28-O28</f>
        <v>0.117263626629466</v>
      </c>
      <c r="U28" s="24" t="n">
        <f aca="false">D16-U26-AG18</f>
        <v>12.4206093790188</v>
      </c>
    </row>
    <row r="29" customFormat="false" ht="15" hidden="false" customHeight="false" outlineLevel="0" collapsed="false">
      <c r="C29" s="24"/>
      <c r="D29" s="24"/>
      <c r="E29" s="24"/>
      <c r="F29" s="24"/>
      <c r="N29" s="55" t="s">
        <v>114</v>
      </c>
      <c r="O29" s="24" t="n">
        <f aca="false">D13</f>
        <v>0.276941666666667</v>
      </c>
      <c r="P29" s="24" t="n">
        <f aca="false">O12</f>
        <v>0.433293168839288</v>
      </c>
      <c r="Q29" s="60" t="n">
        <f aca="false">P29-O29</f>
        <v>0.156351502172621</v>
      </c>
    </row>
    <row r="30" customFormat="false" ht="15" hidden="false" customHeight="false" outlineLevel="0" collapsed="false">
      <c r="C30" s="24"/>
      <c r="D30" s="24"/>
      <c r="E30" s="24"/>
      <c r="F30" s="24"/>
      <c r="N30" s="55" t="s">
        <v>113</v>
      </c>
      <c r="O30" s="24" t="n">
        <f aca="false">D12</f>
        <v>1.45394375</v>
      </c>
      <c r="P30" s="24" t="n">
        <f aca="false">O11</f>
        <v>2.27478913640626</v>
      </c>
      <c r="Q30" s="60" t="n">
        <f aca="false">P30-O30</f>
        <v>0.820845386406261</v>
      </c>
      <c r="U30" s="27" t="s">
        <v>231</v>
      </c>
    </row>
    <row r="31" customFormat="false" ht="15" hidden="false" customHeight="false" outlineLevel="0" collapsed="false">
      <c r="C31" s="24"/>
      <c r="D31" s="24"/>
      <c r="E31" s="24"/>
      <c r="F31" s="24"/>
      <c r="N31" s="57" t="s">
        <v>111</v>
      </c>
      <c r="O31" s="35" t="n">
        <f aca="false">D14</f>
        <v>0.20770625</v>
      </c>
      <c r="P31" s="35" t="n">
        <f aca="false">O13</f>
        <v>0.324969876629466</v>
      </c>
      <c r="Q31" s="62" t="n">
        <f aca="false">P31-O31</f>
        <v>0.117263626629466</v>
      </c>
      <c r="U31" s="24" t="n">
        <f aca="false">O15-U28</f>
        <v>57.9895305573655</v>
      </c>
    </row>
    <row r="32" customFormat="false" ht="15" hidden="false" customHeight="false" outlineLevel="0" collapsed="false">
      <c r="C32" s="24"/>
      <c r="D32" s="24"/>
      <c r="E32" s="24"/>
      <c r="F32" s="24"/>
    </row>
    <row r="33" s="58" customFormat="true" ht="15" hidden="false" customHeight="false" outlineLevel="0" collapsed="false">
      <c r="A33" s="61"/>
      <c r="B33" s="27"/>
      <c r="C33" s="24"/>
      <c r="D33" s="24"/>
      <c r="E33" s="24"/>
      <c r="F33" s="24"/>
      <c r="G33" s="61"/>
      <c r="H33" s="61"/>
      <c r="I33" s="61"/>
      <c r="J33" s="61"/>
      <c r="K33" s="61"/>
      <c r="L33" s="61"/>
      <c r="M33" s="61"/>
      <c r="N33" s="61"/>
      <c r="O33" s="61"/>
      <c r="P33" s="61"/>
      <c r="Q33" s="61"/>
      <c r="R33" s="61"/>
      <c r="S33" s="61"/>
      <c r="T33" s="61"/>
      <c r="U33" s="61" t="s">
        <v>232</v>
      </c>
      <c r="V33" s="61"/>
      <c r="W33" s="61"/>
      <c r="X33" s="61"/>
      <c r="Y33" s="61"/>
      <c r="Z33" s="61"/>
      <c r="AA33" s="61"/>
      <c r="AB33" s="61"/>
      <c r="AC33" s="61"/>
      <c r="AD33" s="61"/>
      <c r="AE33" s="61"/>
      <c r="AF33" s="61"/>
      <c r="AG33" s="61"/>
    </row>
    <row r="34" customFormat="false" ht="15" hidden="false" customHeight="false" outlineLevel="0" collapsed="false">
      <c r="C34" s="24"/>
      <c r="D34" s="24"/>
      <c r="E34" s="24"/>
      <c r="F34" s="24"/>
      <c r="U34" s="27" t="s">
        <v>233</v>
      </c>
    </row>
    <row r="35" customFormat="false" ht="15" hidden="false" customHeight="false" outlineLevel="0" collapsed="false">
      <c r="C35" s="24"/>
      <c r="D35" s="24"/>
      <c r="E35" s="24"/>
      <c r="F35" s="24"/>
      <c r="U35" s="52" t="s">
        <v>234</v>
      </c>
      <c r="V35" s="53" t="s">
        <v>11</v>
      </c>
      <c r="W35" s="53" t="s">
        <v>57</v>
      </c>
      <c r="X35" s="54" t="s">
        <v>13</v>
      </c>
    </row>
    <row r="36" customFormat="false" ht="15" hidden="false" customHeight="false" outlineLevel="0" collapsed="false">
      <c r="C36" s="24"/>
      <c r="D36" s="24"/>
      <c r="E36" s="24"/>
      <c r="F36" s="24"/>
      <c r="U36" s="55" t="s">
        <v>15</v>
      </c>
      <c r="V36" s="24" t="n">
        <v>150</v>
      </c>
      <c r="W36" s="27" t="n">
        <v>32</v>
      </c>
      <c r="X36" s="60" t="n">
        <f aca="false">V36*W36</f>
        <v>4800</v>
      </c>
    </row>
    <row r="37" customFormat="false" ht="15" hidden="false" customHeight="false" outlineLevel="0" collapsed="false">
      <c r="C37" s="24"/>
      <c r="D37" s="24"/>
      <c r="E37" s="24"/>
      <c r="F37" s="24"/>
      <c r="U37" s="55" t="s">
        <v>16</v>
      </c>
      <c r="V37" s="24" t="n">
        <f aca="false">V36/0.22*0.78</f>
        <v>531.818181818182</v>
      </c>
      <c r="W37" s="27" t="n">
        <v>28</v>
      </c>
      <c r="X37" s="60" t="n">
        <f aca="false">V37*W37</f>
        <v>14890.9090909091</v>
      </c>
    </row>
    <row r="38" customFormat="false" ht="15" hidden="false" customHeight="false" outlineLevel="0" collapsed="false">
      <c r="C38" s="24"/>
      <c r="D38" s="24"/>
      <c r="E38" s="24"/>
      <c r="F38" s="24"/>
      <c r="U38" s="57"/>
      <c r="V38" s="62" t="n">
        <f aca="false">SUM(V36:V37)</f>
        <v>681.818181818182</v>
      </c>
      <c r="W38" s="58"/>
      <c r="X38" s="62" t="n">
        <f aca="false">SUM(X36:X37)</f>
        <v>19690.9090909091</v>
      </c>
      <c r="Y38" s="27" t="n">
        <f aca="false">X38*24</f>
        <v>472581.818181818</v>
      </c>
    </row>
    <row r="39" customFormat="false" ht="15" hidden="false" customHeight="false" outlineLevel="0" collapsed="false">
      <c r="Y39" s="27" t="n">
        <f aca="false">Y38+r1!G12</f>
        <v>735652.363636364</v>
      </c>
    </row>
    <row r="40" customFormat="false" ht="15" hidden="false" customHeight="false" outlineLevel="0" collapsed="false">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row>
    <row r="41" customFormat="false" ht="15" hidden="false" customHeight="false" outlineLevel="0" collapsed="false">
      <c r="G41" s="63" t="s">
        <v>156</v>
      </c>
      <c r="H41" s="63"/>
      <c r="I41" s="63"/>
      <c r="J41" s="63"/>
      <c r="K41" s="63"/>
      <c r="L41" s="63"/>
      <c r="M41" s="27" t="s">
        <v>235</v>
      </c>
    </row>
    <row r="42" customFormat="false" ht="15" hidden="false" customHeight="false" outlineLevel="0" collapsed="false">
      <c r="A42" s="27" t="s">
        <v>236</v>
      </c>
      <c r="B42" s="27" t="s">
        <v>11</v>
      </c>
      <c r="C42" s="27" t="s">
        <v>141</v>
      </c>
      <c r="D42" s="27" t="s">
        <v>237</v>
      </c>
      <c r="E42" s="27" t="s">
        <v>238</v>
      </c>
      <c r="F42" s="27" t="s">
        <v>239</v>
      </c>
      <c r="G42" s="27" t="s">
        <v>73</v>
      </c>
      <c r="H42" s="27" t="s">
        <v>74</v>
      </c>
      <c r="I42" s="27" t="s">
        <v>75</v>
      </c>
      <c r="J42" s="27" t="s">
        <v>152</v>
      </c>
      <c r="K42" s="27" t="s">
        <v>153</v>
      </c>
      <c r="L42" s="27" t="s">
        <v>240</v>
      </c>
      <c r="M42" s="24" t="s">
        <v>241</v>
      </c>
      <c r="P42" s="27" t="s">
        <v>242</v>
      </c>
      <c r="Q42" s="27" t="s">
        <v>11</v>
      </c>
      <c r="R42" s="27" t="s">
        <v>141</v>
      </c>
      <c r="S42" s="27" t="s">
        <v>142</v>
      </c>
      <c r="T42" s="27" t="s">
        <v>243</v>
      </c>
      <c r="U42" s="27" t="s">
        <v>73</v>
      </c>
      <c r="V42" s="27" t="s">
        <v>74</v>
      </c>
      <c r="W42" s="27" t="s">
        <v>75</v>
      </c>
      <c r="X42" s="27" t="s">
        <v>152</v>
      </c>
      <c r="Y42" s="27" t="s">
        <v>153</v>
      </c>
      <c r="Z42" s="27" t="s">
        <v>244</v>
      </c>
      <c r="AA42" s="24" t="s">
        <v>245</v>
      </c>
      <c r="AB42" s="24" t="s">
        <v>246</v>
      </c>
    </row>
    <row r="43" customFormat="false" ht="15" hidden="false" customHeight="false" outlineLevel="0" collapsed="false">
      <c r="A43" s="27" t="str">
        <f aca="false">B6</f>
        <v>IB</v>
      </c>
      <c r="B43" s="24" t="n">
        <f aca="false">D6</f>
        <v>0.167</v>
      </c>
      <c r="C43" s="24" t="n">
        <f aca="false">B43*1000</f>
        <v>167</v>
      </c>
      <c r="D43" s="24" t="n">
        <f aca="false">r1!O27</f>
        <v>623.15</v>
      </c>
      <c r="E43" s="27" t="n">
        <f aca="false">245+273.15</f>
        <v>518.15</v>
      </c>
      <c r="F43" s="39" t="n">
        <f aca="false">r1!AA27</f>
        <v>1.89756E-005</v>
      </c>
      <c r="G43" s="24" t="str">
        <f aca="false">r1!V27</f>
        <v>IB + O2 → MAC + H2O</v>
      </c>
      <c r="H43" s="39" t="n">
        <f aca="false">r1!W27</f>
        <v>0</v>
      </c>
      <c r="I43" s="39" t="n">
        <f aca="false">r1!X27</f>
        <v>0</v>
      </c>
      <c r="J43" s="39" t="n">
        <f aca="false">r1!Y27</f>
        <v>-333.418</v>
      </c>
      <c r="K43" s="39" t="n">
        <f aca="false">r1!Z27</f>
        <v>-0.01744</v>
      </c>
      <c r="L43" s="39" t="e">
        <f aca="false">C43*(G43*E43+H43/2*E43^2+I43/3*E43^3+J43/4*E43^4+K43/5*E43^5)</f>
        <v>#VALUE!</v>
      </c>
      <c r="M43" s="39" t="e">
        <f aca="false">-(L43-F43)</f>
        <v>#VALUE!</v>
      </c>
      <c r="P43" s="27" t="str">
        <f aca="false">M6</f>
        <v>MAC</v>
      </c>
      <c r="Q43" s="24" t="n">
        <f aca="false">O6</f>
        <v>7.58263045468754</v>
      </c>
      <c r="R43" s="24" t="n">
        <f aca="false">Q43*1000</f>
        <v>7582.63045468754</v>
      </c>
      <c r="S43" s="27" t="n">
        <f aca="false">305+273.15</f>
        <v>578.15</v>
      </c>
      <c r="T43" s="27" t="n">
        <v>298</v>
      </c>
      <c r="U43" s="27" t="n">
        <v>14.506</v>
      </c>
      <c r="V43" s="39" t="n">
        <v>0.15922</v>
      </c>
      <c r="W43" s="39" t="n">
        <v>0.0003118</v>
      </c>
      <c r="X43" s="39" t="n">
        <v>-4.21E-007</v>
      </c>
      <c r="Y43" s="39" t="n">
        <v>1.4222E-010</v>
      </c>
      <c r="Z43" s="39" t="n">
        <f aca="false">R43*(U43*S43+V43/2*S43^2+W43/3*S43^3+X43/4*S43^4+Y43/5*S43^5)</f>
        <v>342432136.998445</v>
      </c>
      <c r="AA43" s="24" t="n">
        <f aca="false">'heat of reactions'!Q9</f>
        <v>-337.171534532049</v>
      </c>
      <c r="AB43" s="39" t="n">
        <f aca="false">R43*AA43</f>
        <v>-2556647.14619645</v>
      </c>
    </row>
    <row r="44" customFormat="false" ht="15" hidden="false" customHeight="false" outlineLevel="0" collapsed="false">
      <c r="A44" s="27" t="str">
        <f aca="false">B7</f>
        <v>MAC</v>
      </c>
      <c r="B44" s="24" t="n">
        <f aca="false">D7</f>
        <v>34.4665020667615</v>
      </c>
      <c r="C44" s="24" t="n">
        <f aca="false">B44*1000</f>
        <v>34466.5020667615</v>
      </c>
      <c r="D44" s="24" t="n">
        <f aca="false">r1!O28</f>
        <v>623.15</v>
      </c>
      <c r="E44" s="27" t="n">
        <f aca="false">245+273.15</f>
        <v>518.15</v>
      </c>
      <c r="F44" s="39" t="n">
        <f aca="false">r1!AA28</f>
        <v>0.000294540922</v>
      </c>
      <c r="G44" s="24" t="str">
        <f aca="false">r1!V28</f>
        <v>IB + 1.5 O2 → MAA + H2O</v>
      </c>
      <c r="H44" s="39" t="n">
        <f aca="false">r1!W28</f>
        <v>0</v>
      </c>
      <c r="I44" s="39" t="n">
        <f aca="false">r1!X28</f>
        <v>0</v>
      </c>
      <c r="J44" s="39" t="n">
        <f aca="false">r1!Y28</f>
        <v>-339.158</v>
      </c>
      <c r="K44" s="39" t="n">
        <f aca="false">r1!Z28</f>
        <v>0.0393343889</v>
      </c>
      <c r="L44" s="39" t="e">
        <f aca="false">C44*(G44*E44+H44/2*E44^2+I44/3*E44^3+J44/4*E44^4+K44/5*E44^5)</f>
        <v>#VALUE!</v>
      </c>
      <c r="M44" s="39" t="e">
        <f aca="false">-(L44-F44)</f>
        <v>#VALUE!</v>
      </c>
      <c r="P44" s="27" t="str">
        <f aca="false">M7</f>
        <v>CO</v>
      </c>
      <c r="Q44" s="24" t="n">
        <f aca="false">O7</f>
        <v>10.8323292209822</v>
      </c>
      <c r="R44" s="24" t="n">
        <f aca="false">Q44*1000</f>
        <v>10832.3292209822</v>
      </c>
      <c r="S44" s="27" t="n">
        <f aca="false">305+273.15</f>
        <v>578.15</v>
      </c>
      <c r="T44" s="27" t="n">
        <v>298</v>
      </c>
      <c r="U44" s="27" t="n">
        <v>29.556</v>
      </c>
      <c r="V44" s="39" t="n">
        <v>-0.0065807</v>
      </c>
      <c r="W44" s="39" t="n">
        <v>2.013E-005</v>
      </c>
      <c r="X44" s="39" t="n">
        <v>-1.2227E-008</v>
      </c>
      <c r="Y44" s="39" t="n">
        <v>2.6717E-012</v>
      </c>
      <c r="Z44" s="39" t="n">
        <f aca="false">R44*(U44*S44+V44/2*S44^2+W44/3*S44^3+X44/4*S44^4+Y44/5*S44^5)</f>
        <v>183907847.04538</v>
      </c>
      <c r="AA44" s="24" t="n">
        <f aca="false">'heat of reactions'!Q8</f>
        <v>-3573.67932967633</v>
      </c>
      <c r="AB44" s="39" t="n">
        <f aca="false">R44*AA44</f>
        <v>-38711271.029273</v>
      </c>
    </row>
    <row r="45" customFormat="false" ht="15" hidden="false" customHeight="false" outlineLevel="0" collapsed="false">
      <c r="A45" s="27" t="str">
        <f aca="false">B8</f>
        <v>CO</v>
      </c>
      <c r="B45" s="24" t="n">
        <f aca="false">D8</f>
        <v>5.12342083333333</v>
      </c>
      <c r="C45" s="24" t="n">
        <f aca="false">B45*1000</f>
        <v>5123.42083333333</v>
      </c>
      <c r="D45" s="24" t="n">
        <f aca="false">r1!O29</f>
        <v>623.15</v>
      </c>
      <c r="E45" s="27" t="n">
        <f aca="false">245+273.15</f>
        <v>518.15</v>
      </c>
      <c r="F45" s="39" t="n">
        <f aca="false">r1!AA29</f>
        <v>-6.34670000000001E-006</v>
      </c>
      <c r="G45" s="24" t="str">
        <f aca="false">r1!V29</f>
        <v>IB +5O2 → Acetic acid + CO2 + 3H2O</v>
      </c>
      <c r="H45" s="39" t="n">
        <f aca="false">r1!W29</f>
        <v>0</v>
      </c>
      <c r="I45" s="39" t="n">
        <f aca="false">r1!X29</f>
        <v>0</v>
      </c>
      <c r="J45" s="39" t="n">
        <f aca="false">r1!Y29</f>
        <v>-1535.362</v>
      </c>
      <c r="K45" s="39" t="n">
        <f aca="false">r1!Z29</f>
        <v>-4.79039187</v>
      </c>
      <c r="L45" s="39" t="e">
        <f aca="false">C45*(G45*E45+H45/2*E45^2+I45/3*E45^3+J45/4*E45^4+K45/5*E45^5)</f>
        <v>#VALUE!</v>
      </c>
      <c r="M45" s="39" t="e">
        <f aca="false">-(L45-F45)</f>
        <v>#VALUE!</v>
      </c>
      <c r="P45" s="27" t="str">
        <f aca="false">M8</f>
        <v>MAA</v>
      </c>
      <c r="Q45" s="24" t="n">
        <f aca="false">O8</f>
        <v>24.6977106238394</v>
      </c>
      <c r="R45" s="24" t="n">
        <f aca="false">Q45*1000</f>
        <v>24697.7106238394</v>
      </c>
      <c r="S45" s="27" t="n">
        <f aca="false">305+273.15</f>
        <v>578.15</v>
      </c>
      <c r="T45" s="27" t="n">
        <v>298</v>
      </c>
      <c r="U45" s="27" t="n">
        <v>-28.131</v>
      </c>
      <c r="V45" s="39" t="n">
        <v>0.54744</v>
      </c>
      <c r="W45" s="39" t="n">
        <v>-0.00053877</v>
      </c>
      <c r="X45" s="39" t="n">
        <v>2.8583E-007</v>
      </c>
      <c r="Y45" s="39" t="n">
        <v>-6.0864E-011</v>
      </c>
      <c r="Z45" s="39" t="n">
        <f aca="false">R45*(U45*S45+V45/2*S45^2+W45/3*S45^3+X45/4*S45^4+Y45/5*S45^5)</f>
        <v>1178588735.8011</v>
      </c>
      <c r="AA45" s="24" t="n">
        <f aca="false">'heat of reactions'!Q10</f>
        <v>-219.101418951699</v>
      </c>
      <c r="AB45" s="39" t="n">
        <f aca="false">R45*AA45</f>
        <v>-5411303.44254167</v>
      </c>
    </row>
    <row r="46" customFormat="false" ht="15" hidden="false" customHeight="false" outlineLevel="0" collapsed="false">
      <c r="A46" s="27" t="str">
        <f aca="false">B9</f>
        <v>MAA</v>
      </c>
      <c r="B46" s="24" t="n">
        <f aca="false">D9</f>
        <v>1.45394375</v>
      </c>
      <c r="C46" s="24" t="n">
        <f aca="false">B46*1000</f>
        <v>1453.94375</v>
      </c>
      <c r="D46" s="24" t="n">
        <f aca="false">r1!O30</f>
        <v>623.15</v>
      </c>
      <c r="E46" s="27" t="n">
        <f aca="false">245+273.15</f>
        <v>518.15</v>
      </c>
      <c r="F46" s="39" t="n">
        <f aca="false">r1!AA30</f>
        <v>-1.01618E-005</v>
      </c>
      <c r="G46" s="24" t="str">
        <f aca="false">r1!V30</f>
        <v>IB + 3O2 → Acryclic acid + 2H2O</v>
      </c>
      <c r="H46" s="39" t="n">
        <f aca="false">r1!W30</f>
        <v>0</v>
      </c>
      <c r="I46" s="39" t="n">
        <f aca="false">r1!X30</f>
        <v>0</v>
      </c>
      <c r="J46" s="39" t="n">
        <f aca="false">r1!Y30</f>
        <v>-805.984</v>
      </c>
      <c r="K46" s="39" t="n">
        <f aca="false">r1!Z30</f>
        <v>0.013056</v>
      </c>
      <c r="L46" s="39" t="e">
        <f aca="false">C46*(G46*E46+H46/2*E46^2+I46/3*E46^3+J46/4*E46^4+K46/5*E46^5)</f>
        <v>#VALUE!</v>
      </c>
      <c r="M46" s="39" t="e">
        <f aca="false">-(L46-F46)</f>
        <v>#VALUE!</v>
      </c>
      <c r="P46" s="27" t="str">
        <f aca="false">M9</f>
        <v>Acetic ac</v>
      </c>
      <c r="Q46" s="24" t="n">
        <f aca="false">O9</f>
        <v>3.35802205850448</v>
      </c>
      <c r="R46" s="24" t="n">
        <f aca="false">Q46*1000</f>
        <v>3358.02205850448</v>
      </c>
      <c r="S46" s="27" t="n">
        <f aca="false">305+273.15</f>
        <v>578.15</v>
      </c>
      <c r="T46" s="27" t="n">
        <v>298</v>
      </c>
      <c r="U46" s="27" t="n">
        <v>34.85</v>
      </c>
      <c r="V46" s="39" t="n">
        <v>0.037626</v>
      </c>
      <c r="W46" s="39" t="n">
        <v>0.00028311</v>
      </c>
      <c r="X46" s="39" t="n">
        <v>-3.0767E-007</v>
      </c>
      <c r="Y46" s="39" t="n">
        <v>9.2646E-011</v>
      </c>
      <c r="Z46" s="39" t="n">
        <f aca="false">R46*(U46*S46+V46/2*S46^2+W46/3*S46^3+X46/4*S46^4+Y46/5*S46^5)</f>
        <v>125177210.640968</v>
      </c>
      <c r="AA46" s="24" t="n">
        <f aca="false">'heat of reactions'!Q3</f>
        <v>-3710.93963736273</v>
      </c>
      <c r="AB46" s="39" t="n">
        <f aca="false">R46*AA46</f>
        <v>-12461417.1600427</v>
      </c>
    </row>
    <row r="47" customFormat="false" ht="15" hidden="false" customHeight="false" outlineLevel="0" collapsed="false">
      <c r="A47" s="27" t="str">
        <f aca="false">B10</f>
        <v>Acetic ac</v>
      </c>
      <c r="B47" s="24" t="n">
        <f aca="false">D10</f>
        <v>1.45394375</v>
      </c>
      <c r="C47" s="24" t="n">
        <f aca="false">B47*1000</f>
        <v>1453.94375</v>
      </c>
      <c r="D47" s="24" t="n">
        <f aca="false">r1!O31</f>
        <v>623.15</v>
      </c>
      <c r="E47" s="27" t="n">
        <f aca="false">245+273.15</f>
        <v>518.15</v>
      </c>
      <c r="F47" s="39" t="n">
        <f aca="false">r1!AA31</f>
        <v>0</v>
      </c>
      <c r="G47" s="24" t="str">
        <f aca="false">r1!V31</f>
        <v>IB + 2.5O2 → Acrolein + CO2 +2 H2O</v>
      </c>
      <c r="H47" s="39" t="n">
        <f aca="false">r1!W31</f>
        <v>0</v>
      </c>
      <c r="I47" s="39" t="n">
        <f aca="false">r1!X31</f>
        <v>0</v>
      </c>
      <c r="J47" s="39" t="n">
        <f aca="false">r1!Y31</f>
        <v>0</v>
      </c>
      <c r="K47" s="39" t="n">
        <f aca="false">r1!Z31</f>
        <v>0</v>
      </c>
      <c r="L47" s="39" t="e">
        <f aca="false">C47*(G47*E47+H47/2*E47^2+I47/3*E47^3+J47/4*E47^4+K47/5*E47^5)</f>
        <v>#VALUE!</v>
      </c>
      <c r="M47" s="39" t="e">
        <f aca="false">-(L47-F47)</f>
        <v>#VALUE!</v>
      </c>
      <c r="P47" s="27" t="str">
        <f aca="false">M10</f>
        <v>acetone</v>
      </c>
      <c r="Q47" s="24" t="n">
        <f aca="false">O10</f>
        <v>1.29987950651786</v>
      </c>
      <c r="R47" s="24" t="n">
        <f aca="false">Q47*1000</f>
        <v>1299.87950651786</v>
      </c>
      <c r="S47" s="27" t="n">
        <f aca="false">305+273.15</f>
        <v>578.15</v>
      </c>
      <c r="T47" s="27" t="n">
        <v>298</v>
      </c>
      <c r="U47" s="27" t="n">
        <v>35.918</v>
      </c>
      <c r="V47" s="39" t="n">
        <v>0.093896</v>
      </c>
      <c r="W47" s="39" t="n">
        <v>0.0001873</v>
      </c>
      <c r="X47" s="39" t="n">
        <v>-2.1643E-007</v>
      </c>
      <c r="Y47" s="39" t="n">
        <v>6.3174E-011</v>
      </c>
      <c r="Z47" s="39" t="n">
        <f aca="false">R47*(U47*S47+V47/2*S47^2+W47/3*S47^3+X47/4*S47^4+Y47/5*S47^5)</f>
        <v>56278070.9515669</v>
      </c>
      <c r="AA47" s="24" t="n">
        <f aca="false">'heat of reactions'!Q2</f>
        <v>-319.202156966594</v>
      </c>
      <c r="AB47" s="39" t="n">
        <f aca="false">R47*AA47</f>
        <v>-414924.342277174</v>
      </c>
    </row>
    <row r="48" customFormat="false" ht="15" hidden="false" customHeight="false" outlineLevel="0" collapsed="false">
      <c r="A48" s="27" t="str">
        <f aca="false">B11</f>
        <v>acetone</v>
      </c>
      <c r="B48" s="24" t="n">
        <f aca="false">D11</f>
        <v>0.830825</v>
      </c>
      <c r="C48" s="24" t="n">
        <f aca="false">B48*1000</f>
        <v>830.825</v>
      </c>
      <c r="D48" s="24" t="n">
        <f aca="false">r1!O32</f>
        <v>623.15</v>
      </c>
      <c r="E48" s="27" t="n">
        <f aca="false">245+273.15</f>
        <v>518.15</v>
      </c>
      <c r="F48" s="39" t="n">
        <f aca="false">r1!AA32</f>
        <v>-2.68938E-005</v>
      </c>
      <c r="G48" s="24" t="str">
        <f aca="false">r1!V32</f>
        <v>IB + 3O2 → Acetaldehyde + 2CO + 2H2O</v>
      </c>
      <c r="H48" s="39" t="n">
        <f aca="false">r1!W32</f>
        <v>0</v>
      </c>
      <c r="I48" s="39" t="n">
        <f aca="false">r1!X32</f>
        <v>0</v>
      </c>
      <c r="J48" s="39" t="n">
        <f aca="false">r1!Y32</f>
        <v>-859.448</v>
      </c>
      <c r="K48" s="39" t="n">
        <f aca="false">r1!Z32</f>
        <v>0.0261844</v>
      </c>
      <c r="L48" s="39" t="e">
        <f aca="false">C48*(G48*E48+H48/2*E48^2+I48/3*E48^3+J48/4*E48^4+K48/5*E48^5)</f>
        <v>#VALUE!</v>
      </c>
      <c r="M48" s="39" t="e">
        <f aca="false">-(L48-F48)</f>
        <v>#VALUE!</v>
      </c>
      <c r="P48" s="27" t="str">
        <f aca="false">M11</f>
        <v>acetaldehyde</v>
      </c>
      <c r="Q48" s="24" t="n">
        <f aca="false">O11</f>
        <v>2.27478913640626</v>
      </c>
      <c r="R48" s="24" t="n">
        <f aca="false">Q48*1000</f>
        <v>2274.78913640626</v>
      </c>
      <c r="S48" s="27" t="n">
        <f aca="false">305+273.15</f>
        <v>578.15</v>
      </c>
      <c r="T48" s="27" t="n">
        <v>298</v>
      </c>
      <c r="U48" s="27" t="n">
        <v>34.14</v>
      </c>
      <c r="V48" s="39" t="n">
        <v>0.04002</v>
      </c>
      <c r="W48" s="39" t="n">
        <v>0.00015634</v>
      </c>
      <c r="X48" s="39" t="n">
        <v>-1.6445E-007</v>
      </c>
      <c r="Y48" s="39" t="n">
        <v>4.7248E-011</v>
      </c>
      <c r="Z48" s="39" t="n">
        <f aca="false">R48*(U48*S48+V48/2*S48^2+W48/3*S48^3+X48/4*S48^4+Y48/5*S48^5)</f>
        <v>73963553.7290767</v>
      </c>
      <c r="AA48" s="24" t="n">
        <f aca="false">'heat of reactions'!Q6</f>
        <v>-1083.3442972804</v>
      </c>
      <c r="AB48" s="39" t="n">
        <f aca="false">R48*AA48</f>
        <v>-2464379.83844113</v>
      </c>
    </row>
    <row r="49" customFormat="false" ht="15" hidden="false" customHeight="false" outlineLevel="0" collapsed="false">
      <c r="A49" s="27" t="str">
        <f aca="false">B12</f>
        <v>acetalde</v>
      </c>
      <c r="B49" s="24" t="n">
        <f aca="false">D12</f>
        <v>1.45394375</v>
      </c>
      <c r="C49" s="24" t="n">
        <f aca="false">B49*1000</f>
        <v>1453.94375</v>
      </c>
      <c r="D49" s="24" t="n">
        <f aca="false">r1!O33</f>
        <v>623.15</v>
      </c>
      <c r="E49" s="27" t="n">
        <f aca="false">245+273.15</f>
        <v>518.15</v>
      </c>
      <c r="F49" s="39" t="n">
        <f aca="false">r1!AA33</f>
        <v>-3.11346E-005</v>
      </c>
      <c r="G49" s="24" t="str">
        <f aca="false">r1!V33</f>
        <v>IB + 6O2 → 4CO2 + 4 H2O</v>
      </c>
      <c r="H49" s="39" t="n">
        <f aca="false">r1!W33</f>
        <v>0</v>
      </c>
      <c r="I49" s="39" t="n">
        <f aca="false">r1!X33</f>
        <v>0</v>
      </c>
      <c r="J49" s="39" t="n">
        <f aca="false">r1!Y33</f>
        <v>-2531.454</v>
      </c>
      <c r="K49" s="39" t="n">
        <f aca="false">r1!Z33</f>
        <v>0.03320252</v>
      </c>
      <c r="L49" s="39" t="e">
        <f aca="false">C49*(G49*E49+H49/2*E49^2+I49/3*E49^3+J49/4*E49^4+K49/5*E49^5)</f>
        <v>#VALUE!</v>
      </c>
      <c r="M49" s="39" t="e">
        <f aca="false">-(L49-F49)</f>
        <v>#VALUE!</v>
      </c>
      <c r="P49" s="27" t="str">
        <f aca="false">M12</f>
        <v>acrolein</v>
      </c>
      <c r="Q49" s="24" t="n">
        <f aca="false">O12</f>
        <v>0.433293168839288</v>
      </c>
      <c r="R49" s="24" t="n">
        <f aca="false">Q49*1000</f>
        <v>433.293168839288</v>
      </c>
      <c r="S49" s="27" t="n">
        <f aca="false">305+273.15</f>
        <v>578.15</v>
      </c>
      <c r="T49" s="27" t="n">
        <v>298</v>
      </c>
      <c r="U49" s="27" t="n">
        <v>109.243</v>
      </c>
      <c r="V49" s="39" t="n">
        <v>-0.50952</v>
      </c>
      <c r="W49" s="39" t="n">
        <v>0.0017059</v>
      </c>
      <c r="X49" s="39" t="n">
        <v>-1.8068E-006</v>
      </c>
      <c r="Y49" s="39" t="n">
        <v>6.5983E-010</v>
      </c>
      <c r="Z49" s="39" t="n">
        <f aca="false">R49*(U49*S49+V49/2*S49^2+W49/3*S49^3+X49/4*S49^4+Y49/5*S49^5)</f>
        <v>19909477.9293879</v>
      </c>
      <c r="AA49" s="24" t="n">
        <f aca="false">'heat of reactions'!Q5</f>
        <v>-1543.39089509693</v>
      </c>
      <c r="AB49" s="39" t="n">
        <f aca="false">R49*AA49</f>
        <v>-668740.731694256</v>
      </c>
    </row>
    <row r="50" customFormat="false" ht="15" hidden="false" customHeight="false" outlineLevel="0" collapsed="false">
      <c r="A50" s="27" t="str">
        <f aca="false">B13</f>
        <v>acrolein</v>
      </c>
      <c r="B50" s="24" t="n">
        <f aca="false">D13</f>
        <v>0.276941666666667</v>
      </c>
      <c r="C50" s="24" t="n">
        <f aca="false">B50*1000</f>
        <v>276.941666666667</v>
      </c>
      <c r="D50" s="24" t="n">
        <f aca="false">r1!O34</f>
        <v>623.15</v>
      </c>
      <c r="E50" s="27" t="n">
        <f aca="false">245+273.15</f>
        <v>518.15</v>
      </c>
      <c r="F50" s="39" t="n">
        <f aca="false">r1!AA34</f>
        <v>-5.77266E-005</v>
      </c>
      <c r="G50" s="24" t="str">
        <f aca="false">r1!V34</f>
        <v>IB + 4O2 → 4CO + 4 H2O</v>
      </c>
      <c r="H50" s="39" t="n">
        <f aca="false">r1!W34</f>
        <v>0</v>
      </c>
      <c r="I50" s="39" t="n">
        <f aca="false">r1!X34</f>
        <v>0</v>
      </c>
      <c r="J50" s="39" t="n">
        <f aca="false">r1!Y34</f>
        <v>-1406.526</v>
      </c>
      <c r="K50" s="39" t="n">
        <f aca="false">r1!Z34</f>
        <v>0.0650748</v>
      </c>
      <c r="L50" s="39" t="e">
        <f aca="false">C50*(G50*E50+H50/2*E50^2+I50/3*E50^3+J50/4*E50^4+K50/5*E50^5)</f>
        <v>#VALUE!</v>
      </c>
      <c r="M50" s="39" t="e">
        <f aca="false">-(L50-F50)</f>
        <v>#VALUE!</v>
      </c>
      <c r="P50" s="27" t="str">
        <f aca="false">M13</f>
        <v>formaldehyde</v>
      </c>
      <c r="Q50" s="24" t="n">
        <f aca="false">O13</f>
        <v>0.324969876629466</v>
      </c>
      <c r="R50" s="24" t="n">
        <f aca="false">Q50*1000</f>
        <v>324.969876629466</v>
      </c>
      <c r="S50" s="27" t="n">
        <f aca="false">305+273.15</f>
        <v>578.15</v>
      </c>
      <c r="T50" s="27" t="n">
        <v>298</v>
      </c>
      <c r="U50" s="27" t="n">
        <v>34.428</v>
      </c>
      <c r="V50" s="39" t="n">
        <v>-0.029779</v>
      </c>
      <c r="W50" s="39" t="n">
        <v>0.00015104</v>
      </c>
      <c r="X50" s="39" t="n">
        <v>-1.2733E-007</v>
      </c>
      <c r="Y50" s="39" t="n">
        <v>3.3887E-011</v>
      </c>
      <c r="Z50" s="39" t="n">
        <f aca="false">R50*(U50*S50+V50/2*S50^2+W50/3*S50^3+X50/4*S50^4+Y50/5*S50^5)</f>
        <v>6999321.43995076</v>
      </c>
      <c r="AA50" s="24" t="n">
        <f aca="false">'heat of reactions'!Q11</f>
        <v>752.300534989517</v>
      </c>
      <c r="AB50" s="39" t="n">
        <f aca="false">R50*AA50</f>
        <v>244475.012043825</v>
      </c>
    </row>
    <row r="51" customFormat="false" ht="15" hidden="false" customHeight="false" outlineLevel="0" collapsed="false">
      <c r="A51" s="27" t="str">
        <f aca="false">B14</f>
        <v>formaldehyde</v>
      </c>
      <c r="B51" s="24" t="n">
        <f aca="false">D14</f>
        <v>0.20770625</v>
      </c>
      <c r="C51" s="24" t="n">
        <f aca="false">B51*1000</f>
        <v>207.70625</v>
      </c>
      <c r="D51" s="24" t="n">
        <f aca="false">r1!O35</f>
        <v>623.15</v>
      </c>
      <c r="E51" s="27" t="n">
        <f aca="false">245+273.15</f>
        <v>518.15</v>
      </c>
      <c r="F51" s="39" t="n">
        <f aca="false">r1!AA35</f>
        <v>6.23369999999999E-006</v>
      </c>
      <c r="G51" s="24" t="str">
        <f aca="false">r1!V35</f>
        <v>IB + 2.5 O2 → Acroelin + CO2 + 2H2O</v>
      </c>
      <c r="H51" s="39" t="n">
        <f aca="false">r1!W35</f>
        <v>0</v>
      </c>
      <c r="I51" s="39" t="n">
        <f aca="false">r1!X35</f>
        <v>0</v>
      </c>
      <c r="J51" s="39" t="n">
        <f aca="false">r1!Y35</f>
        <v>-941.07</v>
      </c>
      <c r="K51" s="39" t="n">
        <f aca="false">r1!Z35</f>
        <v>-0.00221387000000001</v>
      </c>
      <c r="L51" s="39" t="e">
        <f aca="false">C51*(G51*E51+H51/2*E51^2+I51/3*E51^3+J51/4*E51^4+K51/5*E51^5)</f>
        <v>#VALUE!</v>
      </c>
      <c r="M51" s="39" t="e">
        <f aca="false">-(L51-F51)</f>
        <v>#VALUE!</v>
      </c>
      <c r="P51" s="27" t="str">
        <f aca="false">M14</f>
        <v>acrylic acid</v>
      </c>
      <c r="Q51" s="24" t="n">
        <f aca="false">O14</f>
        <v>0.324969876629466</v>
      </c>
      <c r="R51" s="24" t="n">
        <f aca="false">Q51*1000</f>
        <v>324.969876629466</v>
      </c>
      <c r="S51" s="27" t="n">
        <f aca="false">305+273.15</f>
        <v>578.15</v>
      </c>
      <c r="T51" s="27" t="n">
        <v>298</v>
      </c>
      <c r="U51" s="27" t="n">
        <v>7.755</v>
      </c>
      <c r="V51" s="39" t="n">
        <v>0.29386</v>
      </c>
      <c r="W51" s="39" t="n">
        <v>-0.00020878</v>
      </c>
      <c r="X51" s="39" t="n">
        <v>7.1591E-008</v>
      </c>
      <c r="Y51" s="39" t="n">
        <v>-9.096E-012</v>
      </c>
      <c r="Z51" s="39" t="n">
        <f aca="false">R51*(U51*S51+V51/2*S51^2+W51/3*S51^3+X51/4*S51^4+Y51/5*S51^5)</f>
        <v>13658220.0535496</v>
      </c>
      <c r="AA51" s="24" t="n">
        <f aca="false">'heat of reactions'!Q4</f>
        <v>-464.664805332092</v>
      </c>
      <c r="AB51" s="39" t="n">
        <f aca="false">R51*AA51</f>
        <v>-151002.064462825</v>
      </c>
    </row>
    <row r="52" customFormat="false" ht="15" hidden="false" customHeight="false" outlineLevel="0" collapsed="false">
      <c r="A52" s="27" t="str">
        <f aca="false">B15</f>
        <v>acrylic acid</v>
      </c>
      <c r="B52" s="24" t="n">
        <f aca="false">D15</f>
        <v>0.20770625</v>
      </c>
      <c r="C52" s="24" t="n">
        <f aca="false">B52*1000</f>
        <v>207.70625</v>
      </c>
      <c r="D52" s="24" t="n">
        <f aca="false">r1!O36</f>
        <v>623.15</v>
      </c>
      <c r="E52" s="27" t="n">
        <f aca="false">245+273.15</f>
        <v>518.15</v>
      </c>
      <c r="F52" s="39" t="n">
        <f aca="false">r1!AA36</f>
        <v>0</v>
      </c>
      <c r="G52" s="24" t="str">
        <f aca="false">r1!V36</f>
        <v>MAC + 5O2 → 4CO2 + 3H2O</v>
      </c>
      <c r="H52" s="39" t="n">
        <f aca="false">r1!W36</f>
        <v>0</v>
      </c>
      <c r="I52" s="39" t="n">
        <f aca="false">r1!X36</f>
        <v>0</v>
      </c>
      <c r="J52" s="39" t="n">
        <f aca="false">r1!Y36</f>
        <v>0</v>
      </c>
      <c r="K52" s="39" t="n">
        <f aca="false">r1!Z36</f>
        <v>0</v>
      </c>
      <c r="L52" s="39" t="e">
        <f aca="false">C52*(G52*E52+H52/2*E52^2+I52/3*E52^3+J52/4*E52^4+K52/5*E52^5)</f>
        <v>#VALUE!</v>
      </c>
      <c r="M52" s="39" t="e">
        <f aca="false">-(L52-F52)</f>
        <v>#VALUE!</v>
      </c>
      <c r="P52" s="27" t="str">
        <f aca="false">M15</f>
        <v>oxygen</v>
      </c>
      <c r="Q52" s="24" t="n">
        <f aca="false">O15</f>
        <v>70.4101399363843</v>
      </c>
      <c r="R52" s="24" t="n">
        <f aca="false">Q52*1000</f>
        <v>70410.1399363843</v>
      </c>
      <c r="S52" s="27" t="n">
        <f aca="false">305+273.15</f>
        <v>578.15</v>
      </c>
      <c r="T52" s="27" t="n">
        <v>298</v>
      </c>
      <c r="U52" s="24" t="n">
        <f aca="false">r1!AL41</f>
        <v>29.526</v>
      </c>
      <c r="V52" s="39" t="n">
        <f aca="false">r1!AM41</f>
        <v>-0.0089</v>
      </c>
      <c r="W52" s="39" t="n">
        <f aca="false">r1!AN41</f>
        <v>3.81E-005</v>
      </c>
      <c r="X52" s="39" t="n">
        <f aca="false">r1!AO41</f>
        <v>-3.2E-008</v>
      </c>
      <c r="Y52" s="39" t="n">
        <f aca="false">r1!AP41</f>
        <v>8.9E-012</v>
      </c>
      <c r="Z52" s="39" t="n">
        <f aca="false">R52*(U52*S52+V52/2*S52^2+W52/3*S52^3+X52/4*S52^4+Y52/5*S52^5)</f>
        <v>1215170165.59129</v>
      </c>
      <c r="AA52" s="24" t="n">
        <f aca="false">0</f>
        <v>0</v>
      </c>
      <c r="AB52" s="39" t="n">
        <f aca="false">R52*AA52</f>
        <v>0</v>
      </c>
    </row>
    <row r="53" customFormat="false" ht="15" hidden="false" customHeight="false" outlineLevel="0" collapsed="false">
      <c r="A53" s="27" t="str">
        <f aca="false">B16</f>
        <v>O2</v>
      </c>
      <c r="B53" s="24" t="n">
        <f aca="false">D16+I22</f>
        <v>176.35</v>
      </c>
      <c r="C53" s="24" t="n">
        <f aca="false">B53*1000</f>
        <v>176350</v>
      </c>
      <c r="D53" s="24" t="n">
        <f aca="false">r1!O37</f>
        <v>623.15</v>
      </c>
      <c r="E53" s="27" t="n">
        <f aca="false">245+273.15</f>
        <v>518.15</v>
      </c>
      <c r="F53" s="39" t="e">
        <f aca="false">C53*(G53*D53+H53/2*D53^2+I53/3*D53^3+J53/4*D53^4+K53/5*D53^5)</f>
        <v>#VALUE!</v>
      </c>
      <c r="G53" s="24" t="str">
        <f aca="false">r1!V37</f>
        <v>MAC + 3O2 → 4CO + 3H2O</v>
      </c>
      <c r="H53" s="39" t="n">
        <f aca="false">r1!W37</f>
        <v>0</v>
      </c>
      <c r="I53" s="39" t="n">
        <f aca="false">r1!X37</f>
        <v>0</v>
      </c>
      <c r="J53" s="39" t="n">
        <f aca="false">r1!Y37</f>
        <v>0</v>
      </c>
      <c r="K53" s="39" t="n">
        <f aca="false">r1!Z37</f>
        <v>0</v>
      </c>
      <c r="L53" s="39" t="e">
        <f aca="false">C53*(G53*E53+H53/2*E53^2+I53/3*E53^3+J53/4*E53^4+K53/5*E53^5)</f>
        <v>#VALUE!</v>
      </c>
      <c r="M53" s="39" t="e">
        <f aca="false">-(L53-F53)</f>
        <v>#VALUE!</v>
      </c>
      <c r="P53" s="27" t="str">
        <f aca="false">M16</f>
        <v>steam</v>
      </c>
      <c r="Q53" s="24" t="n">
        <f aca="false">O16</f>
        <v>205.638461970161</v>
      </c>
      <c r="R53" s="24" t="n">
        <f aca="false">Q53*1000</f>
        <v>205638.461970161</v>
      </c>
      <c r="S53" s="27" t="n">
        <f aca="false">305+273.15</f>
        <v>578.15</v>
      </c>
      <c r="T53" s="27" t="n">
        <v>298</v>
      </c>
      <c r="U53" s="24" t="n">
        <f aca="false">r1!AL38</f>
        <v>33.933</v>
      </c>
      <c r="V53" s="39" t="n">
        <f aca="false">r1!AM38</f>
        <v>-0.0084186</v>
      </c>
      <c r="W53" s="39" t="n">
        <f aca="false">r1!AN38</f>
        <v>2.9906E-005</v>
      </c>
      <c r="X53" s="39" t="n">
        <f aca="false">r1!AO38</f>
        <v>-1.7825E-008</v>
      </c>
      <c r="Y53" s="39" t="n">
        <f aca="false">r1!AP38</f>
        <v>3.6934E-012</v>
      </c>
      <c r="Z53" s="39" t="n">
        <f aca="false">R53*(U53*S53+V53/2*S53^2+W53/3*S53^3+X53/4*S53^4+Y53/5*S53^5)</f>
        <v>4048539240.21542</v>
      </c>
      <c r="AA53" s="24" t="n">
        <v>0</v>
      </c>
      <c r="AB53" s="39" t="n">
        <f aca="false">R53*AA53</f>
        <v>0</v>
      </c>
    </row>
    <row r="54" customFormat="false" ht="15" hidden="false" customHeight="false" outlineLevel="0" collapsed="false">
      <c r="A54" s="27" t="str">
        <f aca="false">B17</f>
        <v>N2</v>
      </c>
      <c r="B54" s="24" t="n">
        <f aca="false">D17+I23</f>
        <v>827.863636363636</v>
      </c>
      <c r="C54" s="24" t="n">
        <f aca="false">B54*1000</f>
        <v>827863.636363636</v>
      </c>
      <c r="D54" s="24" t="n">
        <f aca="false">r1!O38</f>
        <v>623.15</v>
      </c>
      <c r="E54" s="27" t="n">
        <f aca="false">245+273.15</f>
        <v>518.15</v>
      </c>
      <c r="F54" s="39" t="e">
        <f aca="false">C54*(G54*D54+H54/2*D54^2+I54/3*D54^3+J54/4*D54^4+K54/5*D54^5)</f>
        <v>#VALUE!</v>
      </c>
      <c r="G54" s="24" t="str">
        <f aca="false">r1!V38</f>
        <v>IB + O2 → Acetone + Formaldehyde</v>
      </c>
      <c r="H54" s="39" t="n">
        <f aca="false">r1!W38</f>
        <v>0</v>
      </c>
      <c r="I54" s="39" t="n">
        <f aca="false">r1!X38</f>
        <v>0</v>
      </c>
      <c r="J54" s="39" t="n">
        <f aca="false">r1!Y38</f>
        <v>-312.972</v>
      </c>
      <c r="K54" s="39" t="n">
        <f aca="false">r1!Z38</f>
        <v>-0.013009</v>
      </c>
      <c r="L54" s="39" t="e">
        <f aca="false">C54*(G54*E54+H54/2*E54^2+I54/3*E54^3+J54/4*E54^4+K54/5*E54^5)</f>
        <v>#VALUE!</v>
      </c>
      <c r="M54" s="39" t="e">
        <f aca="false">-(L54-F54)</f>
        <v>#VALUE!</v>
      </c>
      <c r="P54" s="27" t="str">
        <f aca="false">M17</f>
        <v>CO2</v>
      </c>
      <c r="Q54" s="24" t="n">
        <f aca="false">O17</f>
        <v>36.0021763822927</v>
      </c>
      <c r="R54" s="24" t="n">
        <f aca="false">Q54*1000</f>
        <v>36002.1763822927</v>
      </c>
      <c r="S54" s="27" t="n">
        <f aca="false">305+273.15</f>
        <v>578.15</v>
      </c>
      <c r="T54" s="27" t="n">
        <v>298</v>
      </c>
      <c r="U54" s="27" t="n">
        <v>27.437</v>
      </c>
      <c r="V54" s="39" t="n">
        <v>0.042315</v>
      </c>
      <c r="W54" s="39" t="n">
        <v>-1.9555E-005</v>
      </c>
      <c r="X54" s="39" t="n">
        <v>3.9968E-009</v>
      </c>
      <c r="Y54" s="39" t="n">
        <v>-2.9872E-013</v>
      </c>
      <c r="Z54" s="39" t="n">
        <f aca="false">R54*(U54*S54+V54/2*S54^2+W54/3*S54^3+X54/4*S54^4+Y54/5*S54^5)</f>
        <v>784230311.689966</v>
      </c>
      <c r="AA54" s="24" t="n">
        <f aca="false">'heat of reactions'!Q7</f>
        <v>-4708.14210380001</v>
      </c>
      <c r="AB54" s="39" t="n">
        <f aca="false">R54*AA54</f>
        <v>-169503362.453907</v>
      </c>
    </row>
    <row r="55" customFormat="false" ht="15" hidden="false" customHeight="false" outlineLevel="0" collapsed="false">
      <c r="A55" s="27" t="str">
        <f aca="false">B18</f>
        <v>CO2</v>
      </c>
      <c r="B55" s="24" t="n">
        <f aca="false">D18</f>
        <v>7.55689589962051</v>
      </c>
      <c r="C55" s="24" t="n">
        <f aca="false">B55*1000</f>
        <v>7556.89589962051</v>
      </c>
      <c r="D55" s="24" t="n">
        <f aca="false">r1!O39</f>
        <v>623.15</v>
      </c>
      <c r="E55" s="27" t="n">
        <f aca="false">245+273.15</f>
        <v>518.15</v>
      </c>
      <c r="F55" s="39" t="n">
        <f aca="false">r1!AA39</f>
        <v>0</v>
      </c>
      <c r="G55" s="24" t="str">
        <f aca="false">r1!V39</f>
        <v>Formaldehyde + 0.5O2 → co</v>
      </c>
      <c r="H55" s="39" t="n">
        <f aca="false">r1!W39</f>
        <v>0</v>
      </c>
      <c r="I55" s="39" t="n">
        <f aca="false">r1!X39</f>
        <v>0</v>
      </c>
      <c r="J55" s="39" t="n">
        <f aca="false">r1!Y39</f>
        <v>0</v>
      </c>
      <c r="K55" s="39" t="n">
        <f aca="false">r1!Z39</f>
        <v>0</v>
      </c>
      <c r="L55" s="39" t="e">
        <f aca="false">C55*(G55*E55+H55/2*E55^2+I55/3*E55^3+J55/4*E55^4+K55/5*E55^5)</f>
        <v>#VALUE!</v>
      </c>
      <c r="M55" s="39" t="e">
        <f aca="false">-(L55-F55)</f>
        <v>#VALUE!</v>
      </c>
      <c r="P55" s="27" t="str">
        <f aca="false">M18</f>
        <v>N2</v>
      </c>
      <c r="Q55" s="24" t="n">
        <f aca="false">O18</f>
        <v>827.863636363636</v>
      </c>
      <c r="R55" s="24" t="n">
        <f aca="false">Q55*1000</f>
        <v>827863.636363636</v>
      </c>
      <c r="S55" s="27" t="n">
        <f aca="false">305+273.15</f>
        <v>578.15</v>
      </c>
      <c r="T55" s="27" t="n">
        <v>298</v>
      </c>
      <c r="U55" s="24" t="n">
        <f aca="false">r1!AL40</f>
        <v>29.342</v>
      </c>
      <c r="V55" s="39" t="n">
        <f aca="false">r1!AM40</f>
        <v>-0.035395</v>
      </c>
      <c r="W55" s="39" t="n">
        <f aca="false">r1!AN40</f>
        <v>1.0076E-005</v>
      </c>
      <c r="X55" s="39" t="n">
        <f aca="false">r1!AO40</f>
        <v>-4.3116E-009</v>
      </c>
      <c r="Y55" s="39" t="n">
        <f aca="false">r1!AP40</f>
        <v>2.6E-013</v>
      </c>
      <c r="Z55" s="39" t="n">
        <f aca="false">R55*(U55*S55+V55/2*S55^2+W55/3*S55^3+X55/4*S55^4+Y55/5*S55^5)</f>
        <v>9587115695.65597</v>
      </c>
      <c r="AA55" s="24" t="n">
        <v>0</v>
      </c>
      <c r="AB55" s="39" t="n">
        <f aca="false">R55*AA55</f>
        <v>0</v>
      </c>
    </row>
    <row r="56" customFormat="false" ht="15" hidden="false" customHeight="false" outlineLevel="0" collapsed="false">
      <c r="A56" s="27" t="str">
        <f aca="false">B19</f>
        <v>steam</v>
      </c>
      <c r="B56" s="24" t="n">
        <f aca="false">D19</f>
        <v>113.372060466382</v>
      </c>
      <c r="C56" s="24" t="n">
        <f aca="false">B56*1000</f>
        <v>113372.060466382</v>
      </c>
      <c r="D56" s="24" t="n">
        <f aca="false">r1!O40</f>
        <v>623.15</v>
      </c>
      <c r="E56" s="27" t="n">
        <f aca="false">245+273.15</f>
        <v>518.15</v>
      </c>
      <c r="F56" s="39" t="n">
        <f aca="false">r1!AA40</f>
        <v>-6.4986E-006</v>
      </c>
      <c r="G56" s="24" t="str">
        <f aca="false">r1!V40</f>
        <v>Formaldehyde + O2 → CO2 + H2O</v>
      </c>
      <c r="H56" s="39" t="n">
        <f aca="false">r1!W40</f>
        <v>0</v>
      </c>
      <c r="I56" s="39" t="n">
        <f aca="false">r1!X40</f>
        <v>0</v>
      </c>
      <c r="J56" s="39" t="n">
        <f aca="false">r1!Y40</f>
        <v>-522.161</v>
      </c>
      <c r="K56" s="39" t="n">
        <f aca="false">r1!Z40</f>
        <v>0.01104513</v>
      </c>
      <c r="L56" s="39" t="e">
        <f aca="false">C56*(G56*E56+H56/2*E56^2+I56/3*E56^3+J56/4*E56^4+K56/5*E56^5)</f>
        <v>#VALUE!</v>
      </c>
      <c r="M56" s="39" t="e">
        <f aca="false">-(L56-F56)</f>
        <v>#VALUE!</v>
      </c>
      <c r="P56" s="27" t="str">
        <f aca="false">M19</f>
        <v>Impurity</v>
      </c>
      <c r="Q56" s="24" t="n">
        <f aca="false">O19</f>
        <v>0.0365577127994869</v>
      </c>
      <c r="R56" s="24" t="n">
        <f aca="false">Q56*1000</f>
        <v>36.5577127994869</v>
      </c>
      <c r="S56" s="27" t="n">
        <f aca="false">305+273.15</f>
        <v>578.15</v>
      </c>
      <c r="T56" s="27" t="n">
        <v>298</v>
      </c>
      <c r="U56" s="27" t="n">
        <v>-48.374</v>
      </c>
      <c r="V56" s="39" t="n">
        <v>0.69316</v>
      </c>
      <c r="W56" s="39" t="n">
        <v>-0.00041468</v>
      </c>
      <c r="X56" s="39" t="n">
        <v>7.2672E-008</v>
      </c>
      <c r="Y56" s="39" t="n">
        <v>8.1593E-012</v>
      </c>
      <c r="Z56" s="39" t="n">
        <f aca="false">R56*(U56*S56+V56/2*S56^2+W56/3*S56^3+X56/4*S56^4+Y56/5*S56^5)</f>
        <v>2314189.61794716</v>
      </c>
      <c r="AA56" s="24" t="n">
        <v>0</v>
      </c>
      <c r="AB56" s="39" t="n">
        <f aca="false">R56*AA56</f>
        <v>0</v>
      </c>
    </row>
    <row r="57" customFormat="false" ht="15" hidden="false" customHeight="false" outlineLevel="0" collapsed="false">
      <c r="A57" s="27" t="s">
        <v>17</v>
      </c>
      <c r="C57" s="30" t="n">
        <f aca="false">SUM(C43:C56)</f>
        <v>1170784.5260464</v>
      </c>
      <c r="D57" s="29"/>
      <c r="E57" s="29"/>
      <c r="F57" s="64"/>
      <c r="G57" s="64"/>
      <c r="H57" s="64"/>
      <c r="I57" s="64"/>
      <c r="J57" s="64"/>
      <c r="K57" s="64"/>
      <c r="L57" s="64" t="e">
        <f aca="false">SUM(L43:L56)</f>
        <v>#VALUE!</v>
      </c>
      <c r="M57" s="64" t="e">
        <f aca="false">SUM(M43:M56)</f>
        <v>#VALUE!</v>
      </c>
      <c r="P57" s="27" t="str">
        <f aca="false">M20</f>
        <v>Total</v>
      </c>
      <c r="Z57" s="64" t="n">
        <f aca="false">SUM(Z43:Z56)</f>
        <v>17638284177.36</v>
      </c>
      <c r="AA57" s="29"/>
      <c r="AB57" s="64" t="n">
        <f aca="false">SUM(AB43:AB56)</f>
        <v>-232098573.196792</v>
      </c>
    </row>
    <row r="58" customFormat="false" ht="15" hidden="false" customHeight="false" outlineLevel="0" collapsed="false">
      <c r="M58" s="24"/>
    </row>
    <row r="59" customFormat="false" ht="15" hidden="false" customHeight="false" outlineLevel="0" collapsed="false">
      <c r="L59" s="27" t="s">
        <v>247</v>
      </c>
      <c r="M59" s="24" t="e">
        <f aca="false">M57/1000</f>
        <v>#VALUE!</v>
      </c>
      <c r="N59" s="27" t="s">
        <v>177</v>
      </c>
      <c r="AB59" s="24"/>
    </row>
    <row r="60" customFormat="false" ht="15" hidden="false" customHeight="false" outlineLevel="0" collapsed="false">
      <c r="M60" s="24" t="e">
        <f aca="false">M59/3600</f>
        <v>#VALUE!</v>
      </c>
      <c r="N60" s="27" t="s">
        <v>248</v>
      </c>
    </row>
    <row r="62" customFormat="false" ht="15" hidden="false" customHeight="false" outlineLevel="0" collapsed="false">
      <c r="N62" s="27" t="s">
        <v>249</v>
      </c>
    </row>
    <row r="63" customFormat="false" ht="15" hidden="false" customHeight="false" outlineLevel="0" collapsed="false">
      <c r="M63" s="27" t="s">
        <v>250</v>
      </c>
      <c r="N63" s="24" t="e">
        <f aca="false">L57-Z57</f>
        <v>#VALUE!</v>
      </c>
      <c r="O63" s="27" t="s">
        <v>251</v>
      </c>
    </row>
    <row r="64" customFormat="false" ht="15" hidden="false" customHeight="false" outlineLevel="0" collapsed="false">
      <c r="N64" s="24" t="e">
        <f aca="false">N63/3600</f>
        <v>#VALUE!</v>
      </c>
      <c r="O64" s="27" t="s">
        <v>63</v>
      </c>
    </row>
    <row r="65" customFormat="false" ht="15" hidden="false" customHeight="false" outlineLevel="0" collapsed="false">
      <c r="J65" s="24"/>
      <c r="N65" s="24" t="e">
        <f aca="false">N64/10^6</f>
        <v>#VALUE!</v>
      </c>
      <c r="O65" s="27" t="s">
        <v>57</v>
      </c>
    </row>
    <row r="67" customFormat="false" ht="15" hidden="false" customHeight="false" outlineLevel="0" collapsed="false">
      <c r="F67" s="27" t="n">
        <f aca="false">-75.06*19.23*1000</f>
        <v>-1443403.8</v>
      </c>
      <c r="M67" s="27" t="s">
        <v>252</v>
      </c>
      <c r="N67" s="24" t="n">
        <f aca="false">-AB57</f>
        <v>232098573.196792</v>
      </c>
      <c r="O67" s="27" t="s">
        <v>177</v>
      </c>
    </row>
    <row r="68" customFormat="false" ht="15" hidden="false" customHeight="false" outlineLevel="0" collapsed="false">
      <c r="F68" s="27" t="n">
        <f aca="false">F67/3600</f>
        <v>-400.9455</v>
      </c>
      <c r="G68" s="27" t="s">
        <v>248</v>
      </c>
      <c r="N68" s="24" t="n">
        <f aca="false">N67/3600/1000</f>
        <v>64.4718258879977</v>
      </c>
      <c r="O68" s="27" t="s">
        <v>57</v>
      </c>
    </row>
    <row r="70" customFormat="false" ht="15" hidden="false" customHeight="false" outlineLevel="0" collapsed="false">
      <c r="M70" s="27" t="s">
        <v>253</v>
      </c>
      <c r="N70" s="24" t="e">
        <f aca="false">N68+N65</f>
        <v>#VALUE!</v>
      </c>
      <c r="O70" s="27" t="s">
        <v>57</v>
      </c>
    </row>
  </sheetData>
  <mergeCells count="3">
    <mergeCell ref="N1:AC1"/>
    <mergeCell ref="I2:K2"/>
    <mergeCell ref="G41:L4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Z42"/>
  <sheetViews>
    <sheetView showFormulas="false" showGridLines="true" showRowColHeaders="true" showZeros="true" rightToLeft="false" tabSelected="false" showOutlineSymbols="true" defaultGridColor="true" view="normal" topLeftCell="I1" colorId="64" zoomScale="103" zoomScaleNormal="103" zoomScalePageLayoutView="100" workbookViewId="0">
      <selection pane="topLeft" activeCell="T6" activeCellId="1" sqref="B17:E31 T6"/>
    </sheetView>
  </sheetViews>
  <sheetFormatPr defaultColWidth="11.53515625" defaultRowHeight="12.8" zeroHeight="false" outlineLevelRow="0" outlineLevelCol="0"/>
  <cols>
    <col collapsed="false" customWidth="true" hidden="false" outlineLevel="0" max="8" min="8" style="1" width="20.78"/>
    <col collapsed="false" customWidth="true" hidden="false" outlineLevel="0" max="26" min="26" style="1" width="16.62"/>
  </cols>
  <sheetData>
    <row r="3" customFormat="false" ht="12.8" hidden="false" customHeight="false" outlineLevel="0" collapsed="false">
      <c r="F3" s="1" t="s">
        <v>254</v>
      </c>
      <c r="H3" s="1" t="s">
        <v>255</v>
      </c>
    </row>
    <row r="5" customFormat="false" ht="12.8" hidden="false" customHeight="false" outlineLevel="0" collapsed="false">
      <c r="T5" s="1" t="n">
        <f aca="false">T8-273.15</f>
        <v>180</v>
      </c>
    </row>
    <row r="7" customFormat="false" ht="12.8" hidden="false" customHeight="false" outlineLevel="0" collapsed="false">
      <c r="B7" s="2" t="n">
        <f aca="false">r2!M5</f>
        <v>0</v>
      </c>
      <c r="C7" s="1" t="str">
        <f aca="false">r2!N5</f>
        <v>mol%</v>
      </c>
      <c r="D7" s="1" t="str">
        <f aca="false">r2!O5</f>
        <v>kmol/h</v>
      </c>
      <c r="E7" s="1" t="str">
        <f aca="false">r2!P5</f>
        <v>mw</v>
      </c>
      <c r="F7" s="1" t="str">
        <f aca="false">r2!Q5</f>
        <v>kg/h</v>
      </c>
      <c r="G7" s="1" t="str">
        <f aca="false">r2!R5</f>
        <v>wt%</v>
      </c>
      <c r="H7" s="1" t="s">
        <v>256</v>
      </c>
      <c r="I7" s="1" t="s">
        <v>257</v>
      </c>
      <c r="N7" s="5" t="s">
        <v>52</v>
      </c>
      <c r="O7" s="1" t="str">
        <f aca="false">C7</f>
        <v>mol%</v>
      </c>
      <c r="P7" s="1" t="str">
        <f aca="false">D7</f>
        <v>kmol/h</v>
      </c>
      <c r="Q7" s="1" t="str">
        <f aca="false">E7</f>
        <v>mw</v>
      </c>
      <c r="R7" s="1" t="str">
        <f aca="false">F7</f>
        <v>kg/h</v>
      </c>
      <c r="S7" s="1" t="str">
        <f aca="false">G7</f>
        <v>wt%</v>
      </c>
      <c r="T7" s="5" t="s">
        <v>258</v>
      </c>
      <c r="U7" s="1" t="s">
        <v>73</v>
      </c>
      <c r="V7" s="1" t="s">
        <v>74</v>
      </c>
      <c r="W7" s="1" t="s">
        <v>75</v>
      </c>
      <c r="X7" s="1" t="s">
        <v>152</v>
      </c>
      <c r="Y7" s="1" t="s">
        <v>153</v>
      </c>
      <c r="Z7" s="1" t="s">
        <v>259</v>
      </c>
    </row>
    <row r="8" customFormat="false" ht="12.8" hidden="false" customHeight="false" outlineLevel="0" collapsed="false">
      <c r="B8" s="1" t="str">
        <f aca="false">r2!M6</f>
        <v>MAC</v>
      </c>
      <c r="C8" s="2" t="n">
        <f aca="false">r2!N6</f>
        <v>0.7</v>
      </c>
      <c r="D8" s="2" t="n">
        <f aca="false">r2!O6</f>
        <v>7.58263045468754</v>
      </c>
      <c r="E8" s="2" t="n">
        <f aca="false">r2!P6</f>
        <v>70</v>
      </c>
      <c r="F8" s="2" t="n">
        <f aca="false">r2!Q6</f>
        <v>530.784131828128</v>
      </c>
      <c r="G8" s="2" t="n">
        <f aca="false">r2!R6</f>
        <v>1.55575640821025</v>
      </c>
      <c r="H8" s="14" t="n">
        <f aca="false">r2!Z43</f>
        <v>342432136.998445</v>
      </c>
      <c r="I8" s="2" t="n">
        <f aca="false">r2!S43</f>
        <v>578.15</v>
      </c>
      <c r="N8" s="1" t="str">
        <f aca="false">B8</f>
        <v>MAC</v>
      </c>
      <c r="O8" s="2" t="n">
        <f aca="false">C8</f>
        <v>0.7</v>
      </c>
      <c r="P8" s="2" t="n">
        <f aca="false">D8</f>
        <v>7.58263045468754</v>
      </c>
      <c r="Q8" s="2" t="n">
        <f aca="false">E8</f>
        <v>70</v>
      </c>
      <c r="R8" s="2" t="n">
        <f aca="false">F8</f>
        <v>530.784131828128</v>
      </c>
      <c r="S8" s="2" t="n">
        <f aca="false">G8</f>
        <v>1.55575640821025</v>
      </c>
      <c r="T8" s="1" t="n">
        <f aca="false">453.15</f>
        <v>453.15</v>
      </c>
      <c r="U8" s="1" t="n">
        <v>14.506</v>
      </c>
      <c r="V8" s="1" t="n">
        <v>0.15922</v>
      </c>
      <c r="W8" s="1" t="n">
        <v>0.0003118</v>
      </c>
      <c r="X8" s="1" t="n">
        <v>-4.21E-007</v>
      </c>
      <c r="Y8" s="1" t="n">
        <v>1.4222E-010</v>
      </c>
      <c r="Z8" s="14" t="n">
        <f aca="false">P8*1000*(U8*T8+V8/2*T8^2+W8/3*T8^3+X8/4*T8^4+Y8/5*T8^5)</f>
        <v>217603192.197899</v>
      </c>
    </row>
    <row r="9" customFormat="false" ht="12.8" hidden="false" customHeight="false" outlineLevel="0" collapsed="false">
      <c r="B9" s="1" t="str">
        <f aca="false">r2!M7</f>
        <v>CO</v>
      </c>
      <c r="C9" s="2" t="n">
        <f aca="false">r2!N7</f>
        <v>1</v>
      </c>
      <c r="D9" s="2" t="n">
        <f aca="false">r2!O7</f>
        <v>10.8323292209822</v>
      </c>
      <c r="E9" s="2" t="n">
        <f aca="false">r2!P7</f>
        <v>28</v>
      </c>
      <c r="F9" s="2" t="n">
        <f aca="false">r2!Q7</f>
        <v>303.305218187502</v>
      </c>
      <c r="G9" s="2" t="n">
        <f aca="false">r2!R7</f>
        <v>0.889003661834431</v>
      </c>
      <c r="H9" s="14" t="n">
        <f aca="false">r2!Z44</f>
        <v>183907847.04538</v>
      </c>
      <c r="I9" s="2" t="n">
        <f aca="false">r2!S44</f>
        <v>578.15</v>
      </c>
      <c r="N9" s="1" t="str">
        <f aca="false">B9</f>
        <v>CO</v>
      </c>
      <c r="O9" s="2" t="n">
        <f aca="false">C9</f>
        <v>1</v>
      </c>
      <c r="P9" s="2" t="n">
        <f aca="false">D9</f>
        <v>10.8323292209822</v>
      </c>
      <c r="Q9" s="2" t="n">
        <f aca="false">E9</f>
        <v>28</v>
      </c>
      <c r="R9" s="2" t="n">
        <f aca="false">F9</f>
        <v>303.305218187502</v>
      </c>
      <c r="S9" s="2" t="n">
        <f aca="false">G9</f>
        <v>0.889003661834431</v>
      </c>
      <c r="T9" s="1" t="n">
        <f aca="false">453.15</f>
        <v>453.15</v>
      </c>
      <c r="U9" s="1" t="n">
        <v>29.556</v>
      </c>
      <c r="V9" s="1" t="n">
        <v>-0.0065807</v>
      </c>
      <c r="W9" s="1" t="n">
        <v>2.013E-005</v>
      </c>
      <c r="X9" s="1" t="n">
        <v>-1.2227E-008</v>
      </c>
      <c r="Y9" s="1" t="n">
        <v>2.6717E-012</v>
      </c>
      <c r="Z9" s="14" t="n">
        <f aca="false">P9*1000*(U9*T9+V9/2*T9^2+W9/3*T9^3+X9/4*T9^4+Y9/5*T9^5)</f>
        <v>143239588.334288</v>
      </c>
    </row>
    <row r="10" customFormat="false" ht="12.8" hidden="false" customHeight="false" outlineLevel="0" collapsed="false">
      <c r="B10" s="1" t="str">
        <f aca="false">r2!M8</f>
        <v>MAA</v>
      </c>
      <c r="C10" s="2" t="n">
        <f aca="false">r2!N8</f>
        <v>2.28</v>
      </c>
      <c r="D10" s="2" t="n">
        <f aca="false">r2!O8</f>
        <v>24.6977106238394</v>
      </c>
      <c r="E10" s="2" t="n">
        <f aca="false">r2!P8</f>
        <v>86</v>
      </c>
      <c r="F10" s="2" t="n">
        <f aca="false">r2!Q8</f>
        <v>2124.00311365019</v>
      </c>
      <c r="G10" s="2" t="n">
        <f aca="false">r2!R8</f>
        <v>6.2255656433034</v>
      </c>
      <c r="H10" s="14" t="n">
        <f aca="false">r2!Z45</f>
        <v>1178588735.8011</v>
      </c>
      <c r="I10" s="2" t="n">
        <f aca="false">r2!S45</f>
        <v>578.15</v>
      </c>
      <c r="N10" s="1" t="str">
        <f aca="false">B10</f>
        <v>MAA</v>
      </c>
      <c r="O10" s="2" t="n">
        <f aca="false">C10</f>
        <v>2.28</v>
      </c>
      <c r="P10" s="2" t="n">
        <f aca="false">D10</f>
        <v>24.6977106238394</v>
      </c>
      <c r="Q10" s="2" t="n">
        <f aca="false">E10</f>
        <v>86</v>
      </c>
      <c r="R10" s="2" t="n">
        <f aca="false">F10</f>
        <v>2124.00311365019</v>
      </c>
      <c r="S10" s="2" t="n">
        <f aca="false">G10</f>
        <v>6.2255656433034</v>
      </c>
      <c r="T10" s="1" t="n">
        <f aca="false">453.15</f>
        <v>453.15</v>
      </c>
      <c r="U10" s="1" t="n">
        <v>-28.131</v>
      </c>
      <c r="V10" s="1" t="n">
        <v>0.54744</v>
      </c>
      <c r="W10" s="1" t="n">
        <v>-0.00053877</v>
      </c>
      <c r="X10" s="1" t="n">
        <v>2.8583E-007</v>
      </c>
      <c r="Y10" s="1" t="n">
        <v>-6.0864E-011</v>
      </c>
      <c r="Z10" s="14" t="n">
        <f aca="false">P10*1000*(U10*T10+V10/2*T10^2+W10/3*T10^3+X10/4*T10^4+Y10/5*T10^5)</f>
        <v>729292569.461016</v>
      </c>
    </row>
    <row r="11" customFormat="false" ht="12.8" hidden="false" customHeight="false" outlineLevel="0" collapsed="false">
      <c r="B11" s="1" t="str">
        <f aca="false">r2!M9</f>
        <v>Acetic ac</v>
      </c>
      <c r="C11" s="2" t="n">
        <f aca="false">r2!N9</f>
        <v>0.31</v>
      </c>
      <c r="D11" s="2" t="n">
        <f aca="false">r2!O9</f>
        <v>3.35802205850448</v>
      </c>
      <c r="E11" s="2" t="n">
        <f aca="false">r2!P9</f>
        <v>60</v>
      </c>
      <c r="F11" s="2" t="n">
        <f aca="false">r2!Q9</f>
        <v>201.481323510269</v>
      </c>
      <c r="G11" s="2" t="n">
        <f aca="false">r2!R9</f>
        <v>0.5905524325043</v>
      </c>
      <c r="H11" s="14" t="n">
        <f aca="false">r2!Z46</f>
        <v>125177210.640968</v>
      </c>
      <c r="I11" s="2" t="n">
        <f aca="false">r2!S46</f>
        <v>578.15</v>
      </c>
      <c r="N11" s="1" t="str">
        <f aca="false">B11</f>
        <v>Acetic ac</v>
      </c>
      <c r="O11" s="2" t="n">
        <f aca="false">C11</f>
        <v>0.31</v>
      </c>
      <c r="P11" s="2" t="n">
        <f aca="false">D11</f>
        <v>3.35802205850448</v>
      </c>
      <c r="Q11" s="2" t="n">
        <f aca="false">E11</f>
        <v>60</v>
      </c>
      <c r="R11" s="2" t="n">
        <f aca="false">F11</f>
        <v>201.481323510269</v>
      </c>
      <c r="S11" s="2" t="n">
        <f aca="false">G11</f>
        <v>0.5905524325043</v>
      </c>
      <c r="T11" s="1" t="n">
        <f aca="false">453.15</f>
        <v>453.15</v>
      </c>
      <c r="U11" s="1" t="n">
        <v>34.85</v>
      </c>
      <c r="V11" s="1" t="n">
        <v>0.037626</v>
      </c>
      <c r="W11" s="1" t="n">
        <v>0.00028311</v>
      </c>
      <c r="X11" s="1" t="n">
        <v>-3.0767E-007</v>
      </c>
      <c r="Y11" s="1" t="n">
        <v>9.2646E-011</v>
      </c>
      <c r="Z11" s="14" t="n">
        <f aca="false">P11*1000*(U11*T11+V11/2*T11^2+W11/3*T11^3+X11/4*T11^4+Y11/5*T11^5)</f>
        <v>85788936.3627811</v>
      </c>
    </row>
    <row r="12" customFormat="false" ht="12.8" hidden="false" customHeight="false" outlineLevel="0" collapsed="false">
      <c r="B12" s="1" t="str">
        <f aca="false">r2!M10</f>
        <v>acetone</v>
      </c>
      <c r="C12" s="2" t="n">
        <f aca="false">r2!N10</f>
        <v>0.12</v>
      </c>
      <c r="D12" s="2" t="n">
        <f aca="false">r2!O10</f>
        <v>1.29987950651786</v>
      </c>
      <c r="E12" s="2" t="n">
        <f aca="false">r2!P10</f>
        <v>58</v>
      </c>
      <c r="F12" s="2" t="n">
        <f aca="false">r2!Q10</f>
        <v>75.3930113780361</v>
      </c>
      <c r="G12" s="2" t="n">
        <f aca="false">r2!R10</f>
        <v>0.220980910227416</v>
      </c>
      <c r="H12" s="14" t="n">
        <f aca="false">r2!Z47</f>
        <v>56278070.9515669</v>
      </c>
      <c r="I12" s="2" t="n">
        <f aca="false">r2!S47</f>
        <v>578.15</v>
      </c>
      <c r="N12" s="1" t="str">
        <f aca="false">B12</f>
        <v>acetone</v>
      </c>
      <c r="O12" s="2" t="n">
        <f aca="false">C12</f>
        <v>0.12</v>
      </c>
      <c r="P12" s="2" t="n">
        <f aca="false">D12</f>
        <v>1.29987950651786</v>
      </c>
      <c r="Q12" s="2" t="n">
        <f aca="false">E12</f>
        <v>58</v>
      </c>
      <c r="R12" s="2" t="n">
        <f aca="false">F12</f>
        <v>75.3930113780361</v>
      </c>
      <c r="S12" s="2" t="n">
        <f aca="false">G12</f>
        <v>0.220980910227416</v>
      </c>
      <c r="T12" s="1" t="n">
        <f aca="false">453.15</f>
        <v>453.15</v>
      </c>
      <c r="U12" s="1" t="n">
        <v>35.918</v>
      </c>
      <c r="V12" s="1" t="n">
        <v>0.093896</v>
      </c>
      <c r="W12" s="1" t="n">
        <v>0.0001873</v>
      </c>
      <c r="X12" s="1" t="n">
        <v>-2.1643E-007</v>
      </c>
      <c r="Y12" s="1" t="n">
        <v>6.3174E-011</v>
      </c>
      <c r="Z12" s="14" t="n">
        <f aca="false">P12*1000*(U12*T12+V12/2*T12^2+W12/3*T12^3+X12/4*T12^4+Y12/5*T12^5)</f>
        <v>38588511.3086977</v>
      </c>
    </row>
    <row r="13" customFormat="false" ht="12.8" hidden="false" customHeight="false" outlineLevel="0" collapsed="false">
      <c r="B13" s="1" t="str">
        <f aca="false">r2!M11</f>
        <v>acetaldehyde</v>
      </c>
      <c r="C13" s="2" t="n">
        <f aca="false">r2!N11</f>
        <v>0.21</v>
      </c>
      <c r="D13" s="2" t="n">
        <f aca="false">r2!O11</f>
        <v>2.27478913640626</v>
      </c>
      <c r="E13" s="2" t="n">
        <f aca="false">r2!P11</f>
        <v>44</v>
      </c>
      <c r="F13" s="2" t="n">
        <f aca="false">r2!Q11</f>
        <v>100.090722001875</v>
      </c>
      <c r="G13" s="2" t="n">
        <f aca="false">r2!R11</f>
        <v>0.293371208405362</v>
      </c>
      <c r="H13" s="14" t="n">
        <f aca="false">r2!Z48</f>
        <v>73963553.7290767</v>
      </c>
      <c r="I13" s="2" t="n">
        <f aca="false">r2!S48</f>
        <v>578.15</v>
      </c>
      <c r="N13" s="1" t="str">
        <f aca="false">B13</f>
        <v>acetaldehyde</v>
      </c>
      <c r="O13" s="2" t="n">
        <f aca="false">C13</f>
        <v>0.21</v>
      </c>
      <c r="P13" s="2" t="n">
        <f aca="false">D13</f>
        <v>2.27478913640626</v>
      </c>
      <c r="Q13" s="2" t="n">
        <f aca="false">E13</f>
        <v>44</v>
      </c>
      <c r="R13" s="2" t="n">
        <f aca="false">F13</f>
        <v>100.090722001875</v>
      </c>
      <c r="S13" s="2" t="n">
        <f aca="false">G13</f>
        <v>0.293371208405362</v>
      </c>
      <c r="T13" s="1" t="n">
        <f aca="false">453.15</f>
        <v>453.15</v>
      </c>
      <c r="U13" s="1" t="n">
        <v>34.14</v>
      </c>
      <c r="V13" s="1" t="n">
        <v>0.04002</v>
      </c>
      <c r="W13" s="1" t="n">
        <v>0.00015634</v>
      </c>
      <c r="X13" s="1" t="n">
        <f aca="false">0.00000016445</f>
        <v>1.6445E-007</v>
      </c>
      <c r="Y13" s="1" t="n">
        <v>4.7248E-011</v>
      </c>
      <c r="Z13" s="14" t="n">
        <f aca="false">P13*1000*(U13*T13+V13/2*T13^2+W13/3*T13^3+X13/4*T13^4+Y13/5*T13^5)</f>
        <v>59924492.6788449</v>
      </c>
    </row>
    <row r="14" customFormat="false" ht="12.8" hidden="false" customHeight="false" outlineLevel="0" collapsed="false">
      <c r="B14" s="1" t="str">
        <f aca="false">r2!M12</f>
        <v>acrolein</v>
      </c>
      <c r="C14" s="2" t="n">
        <f aca="false">r2!N12</f>
        <v>0.04</v>
      </c>
      <c r="D14" s="2" t="n">
        <f aca="false">r2!O12</f>
        <v>0.433293168839288</v>
      </c>
      <c r="E14" s="2" t="n">
        <f aca="false">r2!P12</f>
        <v>56</v>
      </c>
      <c r="F14" s="2" t="n">
        <f aca="false">r2!Q12</f>
        <v>24.2644174550001</v>
      </c>
      <c r="G14" s="2" t="n">
        <f aca="false">r2!R12</f>
        <v>0.0711202929467544</v>
      </c>
      <c r="H14" s="14" t="n">
        <f aca="false">r2!Z49</f>
        <v>19909477.9293879</v>
      </c>
      <c r="I14" s="2" t="n">
        <f aca="false">r2!S49</f>
        <v>578.15</v>
      </c>
      <c r="N14" s="1" t="str">
        <f aca="false">B14</f>
        <v>acrolein</v>
      </c>
      <c r="O14" s="2" t="n">
        <f aca="false">C14</f>
        <v>0.04</v>
      </c>
      <c r="P14" s="2" t="n">
        <f aca="false">D14</f>
        <v>0.433293168839288</v>
      </c>
      <c r="Q14" s="2" t="n">
        <f aca="false">E14</f>
        <v>56</v>
      </c>
      <c r="R14" s="2" t="n">
        <f aca="false">F14</f>
        <v>24.2644174550001</v>
      </c>
      <c r="S14" s="2" t="n">
        <f aca="false">G14</f>
        <v>0.0711202929467544</v>
      </c>
      <c r="T14" s="1" t="n">
        <f aca="false">453.15</f>
        <v>453.15</v>
      </c>
      <c r="U14" s="1" t="n">
        <v>109.243</v>
      </c>
      <c r="V14" s="1" t="n">
        <v>-0.50952</v>
      </c>
      <c r="W14" s="1" t="n">
        <v>0.0017059</v>
      </c>
      <c r="X14" s="1" t="n">
        <v>-1.8068E-006</v>
      </c>
      <c r="Y14" s="1" t="n">
        <v>6.5983E-010</v>
      </c>
      <c r="Z14" s="14" t="n">
        <f aca="false">P14*1000*(U14*T14+V14/2*T14^2+W14/3*T14^3+X14/4*T14^4+Y14/5*T14^5)</f>
        <v>14548789.5550787</v>
      </c>
    </row>
    <row r="15" customFormat="false" ht="12.8" hidden="false" customHeight="false" outlineLevel="0" collapsed="false">
      <c r="B15" s="1" t="str">
        <f aca="false">r2!M13</f>
        <v>formaldehyde</v>
      </c>
      <c r="C15" s="2" t="n">
        <f aca="false">r2!N13</f>
        <v>0.03</v>
      </c>
      <c r="D15" s="2" t="n">
        <f aca="false">r2!O13</f>
        <v>0.324969876629466</v>
      </c>
      <c r="E15" s="2" t="n">
        <f aca="false">r2!P13</f>
        <v>30</v>
      </c>
      <c r="F15" s="2" t="n">
        <f aca="false">r2!Q13</f>
        <v>9.74909629888398</v>
      </c>
      <c r="G15" s="2" t="n">
        <f aca="false">r2!R13</f>
        <v>0.028575117701821</v>
      </c>
      <c r="H15" s="14" t="n">
        <f aca="false">r2!Z50</f>
        <v>6999321.43995076</v>
      </c>
      <c r="I15" s="2" t="n">
        <f aca="false">r2!S50</f>
        <v>578.15</v>
      </c>
      <c r="N15" s="1" t="str">
        <f aca="false">B15</f>
        <v>formaldehyde</v>
      </c>
      <c r="O15" s="2" t="n">
        <f aca="false">C15</f>
        <v>0.03</v>
      </c>
      <c r="P15" s="2" t="n">
        <f aca="false">D15</f>
        <v>0.324969876629466</v>
      </c>
      <c r="Q15" s="2" t="n">
        <f aca="false">E15</f>
        <v>30</v>
      </c>
      <c r="R15" s="2" t="n">
        <f aca="false">F15</f>
        <v>9.74909629888398</v>
      </c>
      <c r="S15" s="2" t="n">
        <f aca="false">G15</f>
        <v>0.028575117701821</v>
      </c>
      <c r="T15" s="1" t="n">
        <f aca="false">453.15</f>
        <v>453.15</v>
      </c>
      <c r="U15" s="1" t="n">
        <v>34.428</v>
      </c>
      <c r="V15" s="1" t="n">
        <v>-0.029779</v>
      </c>
      <c r="W15" s="1" t="n">
        <v>0.00015104</v>
      </c>
      <c r="X15" s="1" t="n">
        <v>-1.2733E-007</v>
      </c>
      <c r="Y15" s="1" t="n">
        <v>3.3887E-011</v>
      </c>
      <c r="Z15" s="14" t="n">
        <f aca="false">P15*1000*(U15*T15+V15/2*T15^2+W15/3*T15^3+X15/4*T15^4+Y15/5*T15^5)</f>
        <v>5204607.14622986</v>
      </c>
    </row>
    <row r="16" customFormat="false" ht="12.8" hidden="false" customHeight="false" outlineLevel="0" collapsed="false">
      <c r="B16" s="1" t="str">
        <f aca="false">r2!M14</f>
        <v>acrylic acid</v>
      </c>
      <c r="C16" s="2" t="n">
        <f aca="false">r2!N14</f>
        <v>0.03</v>
      </c>
      <c r="D16" s="2" t="n">
        <f aca="false">r2!O14</f>
        <v>0.324969876629466</v>
      </c>
      <c r="E16" s="2" t="n">
        <f aca="false">r2!P14</f>
        <v>72</v>
      </c>
      <c r="F16" s="2" t="n">
        <f aca="false">r2!Q14</f>
        <v>23.3978311173215</v>
      </c>
      <c r="G16" s="2" t="n">
        <f aca="false">r2!R14</f>
        <v>0.0685802824843704</v>
      </c>
      <c r="H16" s="14" t="n">
        <f aca="false">r2!Z51</f>
        <v>13658220.0535496</v>
      </c>
      <c r="I16" s="2" t="n">
        <f aca="false">r2!S51</f>
        <v>578.15</v>
      </c>
      <c r="N16" s="1" t="str">
        <f aca="false">B16</f>
        <v>acrylic acid</v>
      </c>
      <c r="O16" s="2" t="n">
        <f aca="false">C16</f>
        <v>0.03</v>
      </c>
      <c r="P16" s="2" t="n">
        <f aca="false">D16</f>
        <v>0.324969876629466</v>
      </c>
      <c r="Q16" s="2" t="n">
        <f aca="false">E16</f>
        <v>72</v>
      </c>
      <c r="R16" s="2" t="n">
        <f aca="false">F16</f>
        <v>23.3978311173215</v>
      </c>
      <c r="S16" s="2" t="n">
        <f aca="false">G16</f>
        <v>0.0685802824843704</v>
      </c>
      <c r="T16" s="1" t="n">
        <f aca="false">453.15</f>
        <v>453.15</v>
      </c>
      <c r="U16" s="1" t="n">
        <v>7.755</v>
      </c>
      <c r="V16" s="1" t="n">
        <v>0.29386</v>
      </c>
      <c r="W16" s="1" t="n">
        <v>-0.00020878</v>
      </c>
      <c r="X16" s="1" t="n">
        <v>7.1591E-008</v>
      </c>
      <c r="Y16" s="1" t="n">
        <v>-9.096E-012</v>
      </c>
      <c r="Z16" s="14" t="n">
        <f aca="false">P16*1000*(U16*T16+V16/2*T16^2+W16/3*T16^3+X16/4*T16^4+Y16/5*T16^5)</f>
        <v>9076288.59707375</v>
      </c>
    </row>
    <row r="17" customFormat="false" ht="12.8" hidden="false" customHeight="false" outlineLevel="0" collapsed="false">
      <c r="B17" s="1" t="str">
        <f aca="false">r2!M15</f>
        <v>oxygen</v>
      </c>
      <c r="C17" s="2" t="n">
        <f aca="false">r2!N15</f>
        <v>6.5</v>
      </c>
      <c r="D17" s="2" t="n">
        <f aca="false">r2!O15</f>
        <v>70.4101399363843</v>
      </c>
      <c r="E17" s="2" t="n">
        <f aca="false">r2!P15</f>
        <v>32</v>
      </c>
      <c r="F17" s="2" t="n">
        <f aca="false">r2!Q15</f>
        <v>2253.1244779643</v>
      </c>
      <c r="G17" s="2" t="n">
        <f aca="false">r2!R15</f>
        <v>6.60402720219863</v>
      </c>
      <c r="H17" s="14" t="n">
        <f aca="false">r2!Z52</f>
        <v>1215170165.59129</v>
      </c>
      <c r="I17" s="2" t="n">
        <f aca="false">r2!S52</f>
        <v>578.15</v>
      </c>
      <c r="N17" s="1" t="str">
        <f aca="false">B17</f>
        <v>oxygen</v>
      </c>
      <c r="O17" s="2" t="n">
        <f aca="false">C17</f>
        <v>6.5</v>
      </c>
      <c r="P17" s="2" t="n">
        <f aca="false">D17</f>
        <v>70.4101399363843</v>
      </c>
      <c r="Q17" s="2" t="n">
        <f aca="false">E17</f>
        <v>32</v>
      </c>
      <c r="R17" s="2" t="n">
        <f aca="false">F17</f>
        <v>2253.1244779643</v>
      </c>
      <c r="S17" s="2" t="n">
        <f aca="false">G17</f>
        <v>6.60402720219863</v>
      </c>
      <c r="T17" s="1" t="n">
        <f aca="false">453.15</f>
        <v>453.15</v>
      </c>
      <c r="U17" s="1" t="n">
        <v>31.32234</v>
      </c>
      <c r="V17" s="1" t="n">
        <v>-0.02023531</v>
      </c>
      <c r="W17" s="1" t="n">
        <v>5.786644E-005</v>
      </c>
      <c r="X17" s="1" t="n">
        <v>-3.650624E-008</v>
      </c>
      <c r="Y17" s="1" t="n">
        <v>7.374E-015</v>
      </c>
      <c r="Z17" s="14" t="n">
        <f aca="false">P17*1000*(U17*T17+V17/2*T17^2+W17/3*T17^3+X17/4*T17^4+Y17/5*T17^5)</f>
        <v>952379219.159001</v>
      </c>
    </row>
    <row r="18" customFormat="false" ht="12.8" hidden="false" customHeight="false" outlineLevel="0" collapsed="false">
      <c r="B18" s="1" t="str">
        <f aca="false">r2!M16</f>
        <v>steam</v>
      </c>
      <c r="C18" s="2" t="n">
        <f aca="false">r2!N16</f>
        <v>18.9837714285714</v>
      </c>
      <c r="D18" s="2" t="n">
        <f aca="false">r2!O16</f>
        <v>205.638461970161</v>
      </c>
      <c r="E18" s="2" t="n">
        <f aca="false">r2!P16</f>
        <v>18</v>
      </c>
      <c r="F18" s="2" t="n">
        <f aca="false">r2!Q16</f>
        <v>3701.4923154629</v>
      </c>
      <c r="G18" s="2" t="n">
        <f aca="false">r2!R16</f>
        <v>10.8492700599179</v>
      </c>
      <c r="H18" s="14" t="n">
        <f aca="false">r2!Z53</f>
        <v>4048539240.21542</v>
      </c>
      <c r="I18" s="2" t="n">
        <f aca="false">r2!S53</f>
        <v>578.15</v>
      </c>
      <c r="N18" s="65" t="str">
        <f aca="false">B18</f>
        <v>steam</v>
      </c>
      <c r="O18" s="66" t="n">
        <f aca="false">C18</f>
        <v>18.9837714285714</v>
      </c>
      <c r="P18" s="66" t="n">
        <f aca="false">D18</f>
        <v>205.638461970161</v>
      </c>
      <c r="Q18" s="66" t="n">
        <f aca="false">E18</f>
        <v>18</v>
      </c>
      <c r="R18" s="66" t="n">
        <f aca="false">F18</f>
        <v>3701.4923154629</v>
      </c>
      <c r="S18" s="66" t="n">
        <f aca="false">G18</f>
        <v>10.8492700599179</v>
      </c>
      <c r="T18" s="1" t="n">
        <f aca="false">453.15</f>
        <v>453.15</v>
      </c>
      <c r="U18" s="1" t="n">
        <v>30.092</v>
      </c>
      <c r="V18" s="1" t="n">
        <v>0.006832514</v>
      </c>
      <c r="W18" s="1" t="n">
        <v>6.793435E-006</v>
      </c>
      <c r="X18" s="1" t="n">
        <v>-2.53448E-009</v>
      </c>
      <c r="Y18" s="1" t="n">
        <v>8.2139E-014</v>
      </c>
      <c r="Z18" s="14" t="n">
        <f aca="false">P18*1000*(U18*T18+V18/2*T18^2+W18/3*T18^3+X18/4*T18^4+Y18/5*T18^5)</f>
        <v>2986284113.88331</v>
      </c>
    </row>
    <row r="19" customFormat="false" ht="12.8" hidden="false" customHeight="false" outlineLevel="0" collapsed="false">
      <c r="B19" s="1" t="str">
        <f aca="false">r2!M17</f>
        <v>CO2</v>
      </c>
      <c r="C19" s="2" t="n">
        <f aca="false">r2!N17</f>
        <v>3.32358587408483</v>
      </c>
      <c r="D19" s="2" t="n">
        <f aca="false">r2!O17</f>
        <v>36.0021763822927</v>
      </c>
      <c r="E19" s="2" t="n">
        <f aca="false">r2!P17</f>
        <v>44</v>
      </c>
      <c r="F19" s="2" t="n">
        <f aca="false">r2!Q17</f>
        <v>1584.09576082088</v>
      </c>
      <c r="G19" s="2" t="n">
        <f aca="false">r2!R17</f>
        <v>4.64306859104408</v>
      </c>
      <c r="H19" s="14" t="n">
        <f aca="false">r2!Z54</f>
        <v>784230311.689966</v>
      </c>
      <c r="I19" s="2" t="n">
        <f aca="false">r2!S54</f>
        <v>578.15</v>
      </c>
      <c r="N19" s="1" t="str">
        <f aca="false">B19</f>
        <v>CO2</v>
      </c>
      <c r="O19" s="2" t="n">
        <f aca="false">C19</f>
        <v>3.32358587408483</v>
      </c>
      <c r="P19" s="2" t="n">
        <f aca="false">D19</f>
        <v>36.0021763822927</v>
      </c>
      <c r="Q19" s="2" t="n">
        <f aca="false">E19</f>
        <v>44</v>
      </c>
      <c r="R19" s="2" t="n">
        <f aca="false">F19</f>
        <v>1584.09576082088</v>
      </c>
      <c r="S19" s="2" t="n">
        <f aca="false">G19</f>
        <v>4.64306859104408</v>
      </c>
      <c r="T19" s="1" t="n">
        <f aca="false">453.15</f>
        <v>453.15</v>
      </c>
      <c r="U19" s="1" t="n">
        <v>27.437</v>
      </c>
      <c r="V19" s="1" t="n">
        <v>0.042315</v>
      </c>
      <c r="W19" s="1" t="n">
        <v>-1.9555E-005</v>
      </c>
      <c r="X19" s="1" t="n">
        <v>3.9968E-009</v>
      </c>
      <c r="Y19" s="1" t="n">
        <v>-2.9872E-013</v>
      </c>
      <c r="Z19" s="14" t="n">
        <f aca="false">P19*1000*(U19*T19+V19/2*T19^2+W19/3*T19^3+X19/4*T19^4+Y19/5*T19^5)</f>
        <v>583671196.495853</v>
      </c>
    </row>
    <row r="20" customFormat="false" ht="12.8" hidden="false" customHeight="false" outlineLevel="0" collapsed="false">
      <c r="B20" s="1" t="str">
        <f aca="false">r2!M18</f>
        <v>N2</v>
      </c>
      <c r="C20" s="2" t="n">
        <f aca="false">r2!N18</f>
        <v>76.4252654692277</v>
      </c>
      <c r="D20" s="2" t="n">
        <f aca="false">r2!O18</f>
        <v>827.863636363636</v>
      </c>
      <c r="E20" s="2" t="n">
        <f aca="false">r2!P18</f>
        <v>28</v>
      </c>
      <c r="F20" s="2" t="n">
        <f aca="false">r2!Q18</f>
        <v>23180.1818181818</v>
      </c>
      <c r="G20" s="2" t="n">
        <f aca="false">r2!R18</f>
        <v>67.9423408588119</v>
      </c>
      <c r="H20" s="14" t="n">
        <f aca="false">r2!Z55</f>
        <v>9587115695.65597</v>
      </c>
      <c r="I20" s="2" t="n">
        <f aca="false">r2!S55</f>
        <v>578.15</v>
      </c>
      <c r="N20" s="1" t="str">
        <f aca="false">B20</f>
        <v>N2</v>
      </c>
      <c r="O20" s="2" t="n">
        <f aca="false">C20</f>
        <v>76.4252654692277</v>
      </c>
      <c r="P20" s="2" t="n">
        <f aca="false">D20</f>
        <v>827.863636363636</v>
      </c>
      <c r="Q20" s="2" t="n">
        <f aca="false">E20</f>
        <v>28</v>
      </c>
      <c r="R20" s="2" t="n">
        <f aca="false">F20</f>
        <v>23180.1818181818</v>
      </c>
      <c r="S20" s="2" t="n">
        <f aca="false">G20</f>
        <v>67.9423408588119</v>
      </c>
      <c r="T20" s="1" t="n">
        <f aca="false">453.15</f>
        <v>453.15</v>
      </c>
      <c r="U20" s="1" t="n">
        <v>28.98641</v>
      </c>
      <c r="V20" s="1" t="n">
        <v>0.001853978</v>
      </c>
      <c r="W20" s="1" t="n">
        <v>-9.647459E-006</v>
      </c>
      <c r="X20" s="1" t="n">
        <v>1.663537E-008</v>
      </c>
      <c r="Y20" s="1" t="n">
        <v>1.17E-016</v>
      </c>
      <c r="Z20" s="14" t="n">
        <f aca="false">P20*1000*(U20*T20+V20/2*T20^2+W20/3*T20^3+X20/4*T20^4+Y20/5*T20^5)</f>
        <v>10929182525.8962</v>
      </c>
    </row>
    <row r="21" customFormat="false" ht="12.8" hidden="false" customHeight="false" outlineLevel="0" collapsed="false">
      <c r="B21" s="1" t="str">
        <f aca="false">r2!M19</f>
        <v>Impurity</v>
      </c>
      <c r="C21" s="2" t="n">
        <f aca="false">r2!N19</f>
        <v>0.00337487091222031</v>
      </c>
      <c r="D21" s="2" t="n">
        <f aca="false">r2!O19</f>
        <v>0.0365577127994869</v>
      </c>
      <c r="E21" s="2" t="n">
        <f aca="false">r2!P19</f>
        <v>166</v>
      </c>
      <c r="F21" s="2" t="n">
        <f aca="false">r2!Q19</f>
        <v>6.06858032471483</v>
      </c>
      <c r="G21" s="2" t="n">
        <f aca="false">r2!R19</f>
        <v>0.0177873304094383</v>
      </c>
      <c r="H21" s="14" t="n">
        <f aca="false">r2!Z56</f>
        <v>2314189.61794716</v>
      </c>
      <c r="I21" s="2" t="n">
        <f aca="false">r2!S56</f>
        <v>578.15</v>
      </c>
      <c r="N21" s="1" t="str">
        <f aca="false">B21</f>
        <v>Impurity</v>
      </c>
      <c r="O21" s="2" t="n">
        <f aca="false">C21</f>
        <v>0.00337487091222031</v>
      </c>
      <c r="P21" s="2" t="n">
        <f aca="false">D21</f>
        <v>0.0365577127994869</v>
      </c>
      <c r="Q21" s="2" t="n">
        <f aca="false">E21</f>
        <v>166</v>
      </c>
      <c r="R21" s="2" t="n">
        <f aca="false">F21</f>
        <v>6.06858032471483</v>
      </c>
      <c r="S21" s="2" t="n">
        <f aca="false">G21</f>
        <v>0.0177873304094383</v>
      </c>
      <c r="T21" s="1" t="n">
        <f aca="false">453.15</f>
        <v>453.15</v>
      </c>
      <c r="U21" s="1" t="n">
        <v>-48.374</v>
      </c>
      <c r="V21" s="1" t="n">
        <v>0.69316</v>
      </c>
      <c r="W21" s="1" t="n">
        <v>-0.00041468</v>
      </c>
      <c r="X21" s="1" t="n">
        <v>7.2672E-008</v>
      </c>
      <c r="Y21" s="1" t="n">
        <v>8.1593E-012</v>
      </c>
      <c r="Z21" s="14" t="n">
        <f aca="false">P21*1000*(U21*T21+V21/2*T21^2+W21/3*T21^3+X21/4*T21^4+Y21/5*T21^5)</f>
        <v>1359316.40760687</v>
      </c>
    </row>
    <row r="22" customFormat="false" ht="12.8" hidden="false" customHeight="false" outlineLevel="0" collapsed="false">
      <c r="B22" s="1" t="str">
        <f aca="false">r2!M20</f>
        <v>Total</v>
      </c>
      <c r="C22" s="2" t="n">
        <f aca="false">r2!N20</f>
        <v>0</v>
      </c>
      <c r="D22" s="2" t="n">
        <f aca="false">r2!O20</f>
        <v>1083.23292209822</v>
      </c>
      <c r="E22" s="2" t="n">
        <f aca="false">r2!P20</f>
        <v>0</v>
      </c>
      <c r="F22" s="2" t="n">
        <f aca="false">r2!Q20</f>
        <v>34117.4318181818</v>
      </c>
      <c r="G22" s="2"/>
      <c r="H22" s="14" t="n">
        <f aca="false">SUM(H8:H21)</f>
        <v>17638284177.36</v>
      </c>
      <c r="I22" s="2"/>
      <c r="N22" s="1" t="str">
        <f aca="false">B22</f>
        <v>Total</v>
      </c>
      <c r="O22" s="2" t="n">
        <f aca="false">C22</f>
        <v>0</v>
      </c>
      <c r="P22" s="2" t="n">
        <f aca="false">D22</f>
        <v>1083.23292209822</v>
      </c>
      <c r="Q22" s="2" t="n">
        <f aca="false">E22</f>
        <v>0</v>
      </c>
      <c r="R22" s="2" t="n">
        <f aca="false">F22</f>
        <v>34117.4318181818</v>
      </c>
      <c r="S22" s="2" t="n">
        <f aca="false">G22</f>
        <v>0</v>
      </c>
      <c r="Z22" s="14" t="n">
        <f aca="false">SUM(Z8:Z21)</f>
        <v>16756143347.4839</v>
      </c>
    </row>
    <row r="23" customFormat="false" ht="12.8" hidden="false" customHeight="false" outlineLevel="0" collapsed="false">
      <c r="H23" s="14"/>
      <c r="Z23" s="14"/>
    </row>
    <row r="25" customFormat="false" ht="12.8" hidden="false" customHeight="false" outlineLevel="0" collapsed="false">
      <c r="J25" s="1" t="s">
        <v>253</v>
      </c>
    </row>
    <row r="26" customFormat="false" ht="12.8" hidden="false" customHeight="false" outlineLevel="0" collapsed="false">
      <c r="K26" s="14" t="n">
        <f aca="false">H22-Z22</f>
        <v>882140829.876137</v>
      </c>
      <c r="L26" s="1" t="s">
        <v>251</v>
      </c>
      <c r="O26" s="67" t="s">
        <v>260</v>
      </c>
      <c r="P26" s="67"/>
      <c r="Q26" s="67"/>
      <c r="R26" s="67"/>
      <c r="S26" s="67"/>
    </row>
    <row r="27" customFormat="false" ht="12.8" hidden="false" customHeight="false" outlineLevel="0" collapsed="false">
      <c r="K27" s="14" t="n">
        <f aca="false">K26/1000</f>
        <v>882140.829876137</v>
      </c>
      <c r="L27" s="1" t="s">
        <v>177</v>
      </c>
      <c r="N27" s="5" t="s">
        <v>261</v>
      </c>
      <c r="O27" s="5" t="s">
        <v>73</v>
      </c>
      <c r="P27" s="5" t="s">
        <v>74</v>
      </c>
      <c r="Q27" s="5" t="s">
        <v>75</v>
      </c>
      <c r="R27" s="5" t="s">
        <v>152</v>
      </c>
      <c r="S27" s="5" t="s">
        <v>153</v>
      </c>
    </row>
    <row r="28" customFormat="false" ht="12.8" hidden="false" customHeight="false" outlineLevel="0" collapsed="false">
      <c r="K28" s="2" t="n">
        <f aca="false">K27/3600</f>
        <v>245.039119410038</v>
      </c>
      <c r="L28" s="1" t="s">
        <v>248</v>
      </c>
      <c r="N28" s="5" t="s">
        <v>22</v>
      </c>
      <c r="O28" s="1" t="n">
        <v>14.506</v>
      </c>
      <c r="P28" s="14" t="n">
        <v>0.15922</v>
      </c>
      <c r="Q28" s="14" t="n">
        <v>0.0003118</v>
      </c>
      <c r="R28" s="14" t="n">
        <v>-4.21E-007</v>
      </c>
      <c r="S28" s="14" t="n">
        <v>1.4222E-010</v>
      </c>
    </row>
    <row r="29" customFormat="false" ht="12.8" hidden="false" customHeight="false" outlineLevel="0" collapsed="false">
      <c r="N29" s="5" t="s">
        <v>23</v>
      </c>
      <c r="O29" s="1" t="n">
        <v>29.556</v>
      </c>
      <c r="P29" s="14" t="n">
        <v>-0.0065807</v>
      </c>
      <c r="Q29" s="14" t="n">
        <v>2.013E-005</v>
      </c>
      <c r="R29" s="14" t="n">
        <v>-1.2227E-008</v>
      </c>
      <c r="S29" s="14" t="n">
        <v>2.6717E-012</v>
      </c>
    </row>
    <row r="30" customFormat="false" ht="12.8" hidden="false" customHeight="false" outlineLevel="0" collapsed="false">
      <c r="N30" s="5" t="s">
        <v>25</v>
      </c>
      <c r="O30" s="1" t="n">
        <v>-28.131</v>
      </c>
      <c r="P30" s="14" t="n">
        <v>0.54744</v>
      </c>
      <c r="Q30" s="14" t="n">
        <v>-0.00053877</v>
      </c>
      <c r="R30" s="14" t="n">
        <v>2.8583E-007</v>
      </c>
      <c r="S30" s="14" t="n">
        <v>-6.0864E-011</v>
      </c>
    </row>
    <row r="31" customFormat="false" ht="12.8" hidden="false" customHeight="false" outlineLevel="0" collapsed="false">
      <c r="N31" s="5" t="s">
        <v>26</v>
      </c>
      <c r="O31" s="1" t="n">
        <v>34.85</v>
      </c>
      <c r="P31" s="14" t="n">
        <v>0.037626</v>
      </c>
      <c r="Q31" s="14" t="n">
        <v>0.00028311</v>
      </c>
      <c r="R31" s="14" t="n">
        <v>-3.0767E-007</v>
      </c>
      <c r="S31" s="14" t="n">
        <v>9.2646E-011</v>
      </c>
    </row>
    <row r="32" customFormat="false" ht="12.8" hidden="false" customHeight="false" outlineLevel="0" collapsed="false">
      <c r="N32" s="5" t="s">
        <v>27</v>
      </c>
      <c r="O32" s="1" t="n">
        <v>35.918</v>
      </c>
      <c r="P32" s="14" t="n">
        <v>0.093896</v>
      </c>
      <c r="Q32" s="14" t="n">
        <v>0.0001873</v>
      </c>
      <c r="R32" s="14" t="n">
        <v>-2.1643E-007</v>
      </c>
      <c r="S32" s="14" t="n">
        <v>6.3174E-011</v>
      </c>
    </row>
    <row r="33" customFormat="false" ht="12.8" hidden="false" customHeight="false" outlineLevel="0" collapsed="false">
      <c r="N33" s="5" t="s">
        <v>41</v>
      </c>
      <c r="O33" s="1" t="n">
        <v>34.14</v>
      </c>
      <c r="P33" s="14" t="n">
        <v>0.04002</v>
      </c>
      <c r="Q33" s="14" t="n">
        <v>0.00015634</v>
      </c>
      <c r="R33" s="14" t="n">
        <v>1.6445E-007</v>
      </c>
      <c r="S33" s="14" t="n">
        <v>4.7248E-011</v>
      </c>
    </row>
    <row r="34" customFormat="false" ht="12.8" hidden="false" customHeight="false" outlineLevel="0" collapsed="false">
      <c r="N34" s="5" t="s">
        <v>29</v>
      </c>
      <c r="O34" s="1" t="n">
        <v>109.243</v>
      </c>
      <c r="P34" s="14" t="n">
        <v>-0.50952</v>
      </c>
      <c r="Q34" s="14" t="n">
        <v>0.0017059</v>
      </c>
      <c r="R34" s="14" t="n">
        <v>-1.8068E-006</v>
      </c>
      <c r="S34" s="14" t="n">
        <v>6.5983E-010</v>
      </c>
    </row>
    <row r="35" customFormat="false" ht="12.8" hidden="false" customHeight="false" outlineLevel="0" collapsed="false">
      <c r="N35" s="5" t="s">
        <v>30</v>
      </c>
      <c r="O35" s="1" t="n">
        <v>34.428</v>
      </c>
      <c r="P35" s="14" t="n">
        <v>-0.029779</v>
      </c>
      <c r="Q35" s="14" t="n">
        <v>0.00015104</v>
      </c>
      <c r="R35" s="14" t="n">
        <v>-1.2733E-007</v>
      </c>
      <c r="S35" s="14" t="n">
        <v>3.3887E-011</v>
      </c>
    </row>
    <row r="36" customFormat="false" ht="12.8" hidden="false" customHeight="false" outlineLevel="0" collapsed="false">
      <c r="N36" s="5" t="s">
        <v>31</v>
      </c>
      <c r="O36" s="1" t="n">
        <v>7.755</v>
      </c>
      <c r="P36" s="14" t="n">
        <v>0.29386</v>
      </c>
      <c r="Q36" s="14" t="n">
        <v>-0.00020878</v>
      </c>
      <c r="R36" s="14" t="n">
        <v>7.1591E-008</v>
      </c>
      <c r="S36" s="14" t="n">
        <v>-9.096E-012</v>
      </c>
    </row>
    <row r="37" customFormat="false" ht="12.8" hidden="false" customHeight="false" outlineLevel="0" collapsed="false">
      <c r="N37" s="5" t="s">
        <v>32</v>
      </c>
      <c r="O37" s="1" t="n">
        <v>31.32234</v>
      </c>
      <c r="P37" s="14" t="n">
        <v>-0.02023531</v>
      </c>
      <c r="Q37" s="14" t="n">
        <v>5.786644E-005</v>
      </c>
      <c r="R37" s="14" t="n">
        <v>-3.650624E-008</v>
      </c>
      <c r="S37" s="14" t="n">
        <v>7.374E-015</v>
      </c>
    </row>
    <row r="38" customFormat="false" ht="12.8" hidden="false" customHeight="false" outlineLevel="0" collapsed="false">
      <c r="N38" s="5" t="s">
        <v>7</v>
      </c>
      <c r="O38" s="1" t="n">
        <v>30.092</v>
      </c>
      <c r="P38" s="14" t="n">
        <v>0.006832514</v>
      </c>
      <c r="Q38" s="14" t="n">
        <v>6.793435E-006</v>
      </c>
      <c r="R38" s="14" t="n">
        <v>-2.53448E-009</v>
      </c>
      <c r="S38" s="14" t="n">
        <v>8.2139E-014</v>
      </c>
    </row>
    <row r="39" customFormat="false" ht="12.8" hidden="false" customHeight="false" outlineLevel="0" collapsed="false">
      <c r="N39" s="5" t="s">
        <v>34</v>
      </c>
      <c r="O39" s="1" t="n">
        <v>27.437</v>
      </c>
      <c r="P39" s="14" t="n">
        <v>0.042315</v>
      </c>
      <c r="Q39" s="14" t="n">
        <v>-1.9555E-005</v>
      </c>
      <c r="R39" s="14" t="n">
        <v>3.9968E-009</v>
      </c>
      <c r="S39" s="14" t="n">
        <v>-2.9872E-013</v>
      </c>
    </row>
    <row r="40" customFormat="false" ht="12.8" hidden="false" customHeight="false" outlineLevel="0" collapsed="false">
      <c r="N40" s="5" t="s">
        <v>16</v>
      </c>
      <c r="O40" s="1" t="n">
        <v>28.98641</v>
      </c>
      <c r="P40" s="14" t="n">
        <v>0.001853978</v>
      </c>
      <c r="Q40" s="14" t="n">
        <v>-9.647459E-006</v>
      </c>
      <c r="R40" s="14" t="n">
        <v>1.663537E-008</v>
      </c>
      <c r="S40" s="14" t="n">
        <v>1.17E-016</v>
      </c>
    </row>
    <row r="41" customFormat="false" ht="12.8" hidden="false" customHeight="false" outlineLevel="0" collapsed="false">
      <c r="N41" s="5" t="s">
        <v>225</v>
      </c>
      <c r="O41" s="1" t="n">
        <v>-48.374</v>
      </c>
      <c r="P41" s="14" t="n">
        <v>0.69316</v>
      </c>
      <c r="Q41" s="14" t="n">
        <v>-0.00041468</v>
      </c>
      <c r="R41" s="14" t="n">
        <v>7.2672E-008</v>
      </c>
      <c r="S41" s="14" t="n">
        <v>8.1593E-012</v>
      </c>
    </row>
    <row r="42" customFormat="false" ht="12.8" hidden="false" customHeight="false" outlineLevel="0" collapsed="false">
      <c r="N42" s="5" t="s">
        <v>17</v>
      </c>
    </row>
  </sheetData>
  <mergeCells count="1">
    <mergeCell ref="O26:S26"/>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U52"/>
  <sheetViews>
    <sheetView showFormulas="false" showGridLines="true" showRowColHeaders="true" showZeros="true" rightToLeft="false" tabSelected="false" showOutlineSymbols="true" defaultGridColor="true" view="normal" topLeftCell="H23" colorId="64" zoomScale="103" zoomScaleNormal="103" zoomScalePageLayoutView="100" workbookViewId="0">
      <selection pane="topLeft" activeCell="K28" activeCellId="1" sqref="B17:E31 K28"/>
    </sheetView>
  </sheetViews>
  <sheetFormatPr defaultColWidth="11.53515625" defaultRowHeight="12.8" zeroHeight="false" outlineLevelRow="0" outlineLevelCol="0"/>
  <cols>
    <col collapsed="false" customWidth="false" hidden="false" outlineLevel="0" max="3" min="1" style="2" width="11.53"/>
    <col collapsed="false" customWidth="true" hidden="false" outlineLevel="0" max="4" min="4" style="2" width="15.6"/>
    <col collapsed="false" customWidth="false" hidden="false" outlineLevel="0" max="7" min="5" style="2" width="11.53"/>
    <col collapsed="false" customWidth="true" hidden="false" outlineLevel="0" max="8" min="8" style="2" width="20.35"/>
    <col collapsed="false" customWidth="false" hidden="false" outlineLevel="0" max="14" min="9" style="2" width="11.53"/>
    <col collapsed="false" customWidth="true" hidden="false" outlineLevel="0" max="15" min="15" style="2" width="13.22"/>
    <col collapsed="false" customWidth="false" hidden="false" outlineLevel="0" max="16" min="16" style="2" width="11.53"/>
    <col collapsed="false" customWidth="true" hidden="false" outlineLevel="0" max="17" min="17" style="2" width="15.6"/>
    <col collapsed="false" customWidth="false" hidden="false" outlineLevel="0" max="23" min="18" style="2" width="11.53"/>
    <col collapsed="false" customWidth="true" hidden="false" outlineLevel="0" max="24" min="24" style="2" width="17.83"/>
    <col collapsed="false" customWidth="true" hidden="false" outlineLevel="0" max="25" min="25" style="2" width="16.45"/>
    <col collapsed="false" customWidth="false" hidden="false" outlineLevel="0" max="27" min="26" style="2" width="11.53"/>
    <col collapsed="false" customWidth="true" hidden="false" outlineLevel="0" max="28" min="28" style="2" width="16.62"/>
    <col collapsed="false" customWidth="false" hidden="false" outlineLevel="0" max="29" min="29" style="2" width="11.53"/>
    <col collapsed="false" customWidth="true" hidden="false" outlineLevel="0" max="30" min="30" style="2" width="14.93"/>
    <col collapsed="false" customWidth="true" hidden="false" outlineLevel="0" max="31" min="31" style="2" width="18.15"/>
    <col collapsed="false" customWidth="false" hidden="false" outlineLevel="0" max="32" min="32" style="2" width="11.53"/>
    <col collapsed="false" customWidth="true" hidden="false" outlineLevel="0" max="33" min="33" style="2" width="15.14"/>
    <col collapsed="false" customWidth="true" hidden="false" outlineLevel="0" max="34" min="34" style="2" width="15.63"/>
    <col collapsed="false" customWidth="true" hidden="false" outlineLevel="0" max="35" min="35" style="2" width="19.33"/>
    <col collapsed="false" customWidth="false" hidden="false" outlineLevel="0" max="36" min="36" style="2" width="11.53"/>
    <col collapsed="false" customWidth="true" hidden="false" outlineLevel="0" max="37" min="37" style="2" width="16.55"/>
    <col collapsed="false" customWidth="false" hidden="false" outlineLevel="0" max="16384" min="38" style="2" width="11.53"/>
  </cols>
  <sheetData>
    <row r="1" customFormat="false" ht="12.8" hidden="false" customHeight="false" outlineLevel="0" collapsed="false">
      <c r="X1" s="2" t="s">
        <v>262</v>
      </c>
    </row>
    <row r="2" customFormat="false" ht="12.8" hidden="false" customHeight="false" outlineLevel="0" collapsed="false">
      <c r="I2" s="2" t="s">
        <v>263</v>
      </c>
      <c r="L2" s="2" t="s">
        <v>264</v>
      </c>
    </row>
    <row r="3" customFormat="false" ht="12.8" hidden="false" customHeight="false" outlineLevel="0" collapsed="false">
      <c r="I3" s="2" t="s">
        <v>265</v>
      </c>
      <c r="J3" s="1"/>
      <c r="L3" s="2" t="s">
        <v>266</v>
      </c>
      <c r="M3" s="2" t="n">
        <v>0</v>
      </c>
      <c r="N3" s="2" t="s">
        <v>13</v>
      </c>
    </row>
    <row r="4" customFormat="false" ht="12.8" hidden="false" customHeight="false" outlineLevel="0" collapsed="false">
      <c r="J4" s="1"/>
      <c r="L4" s="2" t="s">
        <v>267</v>
      </c>
      <c r="M4" s="2" t="n">
        <f aca="false">M3/18</f>
        <v>0</v>
      </c>
      <c r="N4" s="2" t="s">
        <v>11</v>
      </c>
    </row>
    <row r="7" customFormat="false" ht="12.8" hidden="false" customHeight="false" outlineLevel="0" collapsed="false">
      <c r="J7" s="1"/>
      <c r="K7" s="1"/>
    </row>
    <row r="8" customFormat="false" ht="12.8" hidden="false" customHeight="false" outlineLevel="0" collapsed="false">
      <c r="J8" s="1"/>
      <c r="K8" s="1"/>
    </row>
    <row r="9" customFormat="false" ht="12.8" hidden="false" customHeight="false" outlineLevel="0" collapsed="false">
      <c r="E9" s="2" t="s">
        <v>268</v>
      </c>
      <c r="F9" s="2" t="n">
        <f aca="false">453.15</f>
        <v>453.15</v>
      </c>
      <c r="G9" s="2" t="n">
        <f aca="false">F9-273.15</f>
        <v>180</v>
      </c>
      <c r="J9" s="1"/>
      <c r="K9" s="1"/>
    </row>
    <row r="11" customFormat="false" ht="12.8" hidden="false" customHeight="false" outlineLevel="0" collapsed="false">
      <c r="B11" s="2" t="n">
        <f aca="false">r2!M5</f>
        <v>0</v>
      </c>
      <c r="C11" s="2" t="str">
        <f aca="false">r2!N5</f>
        <v>mol%</v>
      </c>
      <c r="D11" s="2" t="str">
        <f aca="false">r2!O5</f>
        <v>kmol/h</v>
      </c>
      <c r="E11" s="2" t="str">
        <f aca="false">r2!P5</f>
        <v>mw</v>
      </c>
      <c r="F11" s="2" t="str">
        <f aca="false">r2!Q5</f>
        <v>kg/h</v>
      </c>
      <c r="G11" s="2" t="str">
        <f aca="false">r2!R5</f>
        <v>wt%</v>
      </c>
      <c r="H11" s="2" t="s">
        <v>269</v>
      </c>
      <c r="J11" s="68" t="s">
        <v>270</v>
      </c>
      <c r="AD11" s="1"/>
      <c r="AL11" s="1"/>
    </row>
    <row r="12" customFormat="false" ht="12.8" hidden="false" customHeight="false" outlineLevel="0" collapsed="false">
      <c r="B12" s="2" t="str">
        <f aca="false">r2!M6</f>
        <v>MAC</v>
      </c>
      <c r="C12" s="2" t="n">
        <f aca="false">r2!N6</f>
        <v>0.7</v>
      </c>
      <c r="D12" s="2" t="n">
        <f aca="false">r2!O6</f>
        <v>7.58263045468754</v>
      </c>
      <c r="E12" s="2" t="n">
        <f aca="false">r2!P6</f>
        <v>70</v>
      </c>
      <c r="F12" s="69" t="n">
        <f aca="false">r2!Q6</f>
        <v>530.784131828128</v>
      </c>
      <c r="G12" s="2" t="n">
        <f aca="false">r2!R6</f>
        <v>1.55575640821025</v>
      </c>
      <c r="H12" s="14" t="n">
        <f aca="false">'gas cooler'!Z8</f>
        <v>217603192.197899</v>
      </c>
      <c r="J12" s="2" t="n">
        <f aca="false">100+273.15</f>
        <v>373.15</v>
      </c>
      <c r="O12" s="70" t="s">
        <v>271</v>
      </c>
      <c r="P12" s="68" t="s">
        <v>10</v>
      </c>
      <c r="Q12" s="68" t="s">
        <v>11</v>
      </c>
      <c r="R12" s="68" t="s">
        <v>12</v>
      </c>
      <c r="S12" s="68" t="s">
        <v>13</v>
      </c>
      <c r="T12" s="68" t="s">
        <v>49</v>
      </c>
      <c r="U12" s="68" t="s">
        <v>73</v>
      </c>
      <c r="V12" s="68" t="s">
        <v>74</v>
      </c>
      <c r="W12" s="68" t="s">
        <v>75</v>
      </c>
      <c r="X12" s="68" t="s">
        <v>152</v>
      </c>
      <c r="Y12" s="68" t="s">
        <v>153</v>
      </c>
      <c r="Z12" s="2" t="s">
        <v>272</v>
      </c>
      <c r="AA12" s="2" t="s">
        <v>273</v>
      </c>
      <c r="AB12" s="14" t="s">
        <v>274</v>
      </c>
      <c r="AC12" s="14"/>
      <c r="AD12" s="1"/>
      <c r="AE12" s="14" t="s">
        <v>275</v>
      </c>
      <c r="AF12" s="14"/>
      <c r="AL12" s="1"/>
    </row>
    <row r="13" customFormat="false" ht="12.8" hidden="false" customHeight="false" outlineLevel="0" collapsed="false">
      <c r="B13" s="69" t="str">
        <f aca="false">r2!M7</f>
        <v>CO</v>
      </c>
      <c r="C13" s="2" t="n">
        <f aca="false">r2!N7</f>
        <v>1</v>
      </c>
      <c r="D13" s="2" t="n">
        <f aca="false">r2!O7</f>
        <v>10.8323292209822</v>
      </c>
      <c r="E13" s="2" t="n">
        <f aca="false">r2!P7</f>
        <v>28</v>
      </c>
      <c r="F13" s="69" t="n">
        <f aca="false">r2!Q7</f>
        <v>303.305218187502</v>
      </c>
      <c r="G13" s="2" t="n">
        <f aca="false">r2!R7</f>
        <v>0.889003661834431</v>
      </c>
      <c r="H13" s="14" t="n">
        <f aca="false">'gas cooler'!Z9</f>
        <v>143239588.334288</v>
      </c>
      <c r="K13" s="1"/>
      <c r="O13" s="68" t="s">
        <v>22</v>
      </c>
      <c r="P13" s="68" t="n">
        <f aca="false">Q13/$Q$22*100</f>
        <v>0.774336511903455</v>
      </c>
      <c r="Q13" s="2" t="n">
        <f aca="false">S13/R13</f>
        <v>7.40924244540997</v>
      </c>
      <c r="R13" s="2" t="n">
        <f aca="false">E12</f>
        <v>70</v>
      </c>
      <c r="S13" s="66" t="n">
        <f aca="false">F12-O30</f>
        <v>518.646971178698</v>
      </c>
      <c r="T13" s="2" t="n">
        <f aca="false">S13/$S$22%</f>
        <v>1.84908452062466</v>
      </c>
      <c r="U13" s="68" t="n">
        <f aca="false">'gas cooler'!U8</f>
        <v>14.506</v>
      </c>
      <c r="V13" s="2" t="n">
        <f aca="false">'gas cooler'!V8</f>
        <v>0.15922</v>
      </c>
      <c r="W13" s="2" t="n">
        <f aca="false">'gas cooler'!W8</f>
        <v>0.0003118</v>
      </c>
      <c r="X13" s="2" t="n">
        <f aca="false">'gas cooler'!X8</f>
        <v>-4.21E-007</v>
      </c>
      <c r="Y13" s="2" t="n">
        <f aca="false">'gas cooler'!Y8</f>
        <v>1.4222E-010</v>
      </c>
      <c r="Z13" s="2" t="n">
        <f aca="false">$J$12</f>
        <v>373.15</v>
      </c>
      <c r="AB13" s="14" t="n">
        <f aca="false">Q13*1000*(U13*Z13+V13/2*Z13^2+W13/3*Z13^3+X13/4*Z13^4+Y13/5*Z13^5)</f>
        <v>148653242.89772</v>
      </c>
      <c r="AC13" s="14"/>
      <c r="AD13" s="14" t="n">
        <f aca="false">H12-AB13</f>
        <v>68949949.3001787</v>
      </c>
      <c r="AE13" s="14" t="n">
        <f aca="false">AD13*-1</f>
        <v>-68949949.3001787</v>
      </c>
      <c r="AL13" s="1"/>
    </row>
    <row r="14" customFormat="false" ht="12.8" hidden="false" customHeight="false" outlineLevel="0" collapsed="false">
      <c r="B14" s="71" t="str">
        <f aca="false">r2!M8</f>
        <v>MAA</v>
      </c>
      <c r="C14" s="2" t="n">
        <f aca="false">r2!N8</f>
        <v>2.28</v>
      </c>
      <c r="D14" s="2" t="n">
        <f aca="false">r2!O8</f>
        <v>24.6977106238394</v>
      </c>
      <c r="E14" s="2" t="n">
        <f aca="false">r2!P8</f>
        <v>86</v>
      </c>
      <c r="F14" s="69" t="n">
        <f aca="false">r2!Q8</f>
        <v>2124.00311365019</v>
      </c>
      <c r="G14" s="2" t="n">
        <f aca="false">r2!R8</f>
        <v>6.2255656433034</v>
      </c>
      <c r="H14" s="14" t="n">
        <f aca="false">'gas cooler'!Z10</f>
        <v>729292569.461016</v>
      </c>
      <c r="O14" s="68" t="s">
        <v>23</v>
      </c>
      <c r="P14" s="2" t="n">
        <f aca="false">Q14/$Q$22*100</f>
        <v>1.13208173258813</v>
      </c>
      <c r="Q14" s="2" t="n">
        <f aca="false">S14/R14</f>
        <v>10.8323292209822</v>
      </c>
      <c r="R14" s="2" t="n">
        <f aca="false">E13</f>
        <v>28</v>
      </c>
      <c r="S14" s="2" t="n">
        <f aca="false">F13</f>
        <v>303.305218187502</v>
      </c>
      <c r="T14" s="2" t="n">
        <f aca="false">S14/$S$22%</f>
        <v>1.08134630132056</v>
      </c>
      <c r="U14" s="68" t="n">
        <f aca="false">'gas cooler'!U9</f>
        <v>29.556</v>
      </c>
      <c r="V14" s="2" t="n">
        <f aca="false">'gas cooler'!V9</f>
        <v>-0.0065807</v>
      </c>
      <c r="W14" s="2" t="n">
        <f aca="false">'gas cooler'!W9</f>
        <v>2.013E-005</v>
      </c>
      <c r="X14" s="2" t="n">
        <f aca="false">'gas cooler'!X9</f>
        <v>-1.2227E-008</v>
      </c>
      <c r="Y14" s="2" t="n">
        <f aca="false">'gas cooler'!Y9</f>
        <v>2.6717E-012</v>
      </c>
      <c r="Z14" s="2" t="n">
        <f aca="false">$J$12</f>
        <v>373.15</v>
      </c>
      <c r="AB14" s="14" t="n">
        <f aca="false">Q14*1000*(U14*Z14+V14/2*Z14^2+W14/3*Z14^3+X14/4*Z14^4+Y14/5*Z14^5)</f>
        <v>117681427.221248</v>
      </c>
      <c r="AC14" s="14"/>
      <c r="AD14" s="14" t="n">
        <f aca="false">H13-AB14</f>
        <v>25558161.1130396</v>
      </c>
      <c r="AE14" s="14" t="n">
        <f aca="false">AD14*-1</f>
        <v>-25558161.1130396</v>
      </c>
      <c r="AL14" s="1"/>
    </row>
    <row r="15" customFormat="false" ht="12.8" hidden="false" customHeight="false" outlineLevel="0" collapsed="false">
      <c r="B15" s="71" t="str">
        <f aca="false">r2!M9</f>
        <v>Acetic ac</v>
      </c>
      <c r="C15" s="2" t="n">
        <f aca="false">r2!N9</f>
        <v>0.31</v>
      </c>
      <c r="D15" s="2" t="n">
        <f aca="false">r2!O9</f>
        <v>3.35802205850448</v>
      </c>
      <c r="E15" s="2" t="n">
        <f aca="false">r2!P9</f>
        <v>60</v>
      </c>
      <c r="F15" s="69" t="n">
        <f aca="false">r2!Q9</f>
        <v>201.481323510269</v>
      </c>
      <c r="G15" s="2" t="n">
        <f aca="false">r2!R9</f>
        <v>0.5905524325043</v>
      </c>
      <c r="H15" s="14" t="n">
        <f aca="false">'gas cooler'!Z11</f>
        <v>85788936.3627811</v>
      </c>
      <c r="L15" s="68"/>
      <c r="M15" s="68"/>
      <c r="O15" s="68" t="s">
        <v>55</v>
      </c>
      <c r="P15" s="2" t="n">
        <f aca="false">Q15/$Q$22*100</f>
        <v>0.135849807910575</v>
      </c>
      <c r="Q15" s="2" t="n">
        <f aca="false">S15/R15</f>
        <v>1.29987950651786</v>
      </c>
      <c r="R15" s="2" t="n">
        <f aca="false">E16</f>
        <v>58</v>
      </c>
      <c r="S15" s="2" t="n">
        <f aca="false">F16</f>
        <v>75.3930113780361</v>
      </c>
      <c r="T15" s="2" t="n">
        <f aca="false">S15/$S$22%</f>
        <v>0.268791794899682</v>
      </c>
      <c r="U15" s="68" t="n">
        <f aca="false">'gas cooler'!U12</f>
        <v>35.918</v>
      </c>
      <c r="V15" s="2" t="n">
        <f aca="false">'gas cooler'!V12</f>
        <v>0.093896</v>
      </c>
      <c r="W15" s="2" t="n">
        <f aca="false">'gas cooler'!W12</f>
        <v>0.0001873</v>
      </c>
      <c r="X15" s="2" t="n">
        <f aca="false">'gas cooler'!X12</f>
        <v>-2.1643E-007</v>
      </c>
      <c r="Y15" s="2" t="n">
        <f aca="false">'gas cooler'!Y12</f>
        <v>6.3174E-011</v>
      </c>
      <c r="Z15" s="2" t="n">
        <f aca="false">$J$12</f>
        <v>373.15</v>
      </c>
      <c r="AB15" s="14" t="n">
        <f aca="false">Q15*1000*(U15*Z15+V15/2*Z15^2+W15/3*Z15^3+X15/4*Z15^4+Y15/5*Z15^5)</f>
        <v>28891317.2654002</v>
      </c>
      <c r="AC15" s="14"/>
      <c r="AD15" s="14" t="n">
        <f aca="false">H16-AB15</f>
        <v>9697194.04329746</v>
      </c>
      <c r="AE15" s="14" t="n">
        <f aca="false">AD15*-1</f>
        <v>-9697194.04329746</v>
      </c>
      <c r="AL15" s="1"/>
    </row>
    <row r="16" customFormat="false" ht="12.8" hidden="false" customHeight="false" outlineLevel="0" collapsed="false">
      <c r="B16" s="69" t="str">
        <f aca="false">r2!M10</f>
        <v>acetone</v>
      </c>
      <c r="C16" s="2" t="n">
        <f aca="false">r2!N10</f>
        <v>0.12</v>
      </c>
      <c r="D16" s="2" t="n">
        <f aca="false">r2!O10</f>
        <v>1.29987950651786</v>
      </c>
      <c r="E16" s="2" t="n">
        <f aca="false">r2!P10</f>
        <v>58</v>
      </c>
      <c r="F16" s="69" t="n">
        <f aca="false">r2!Q10</f>
        <v>75.3930113780361</v>
      </c>
      <c r="G16" s="2" t="n">
        <f aca="false">r2!R10</f>
        <v>0.220980910227416</v>
      </c>
      <c r="H16" s="14" t="n">
        <f aca="false">'gas cooler'!Z12</f>
        <v>38588511.3086977</v>
      </c>
      <c r="O16" s="68" t="s">
        <v>41</v>
      </c>
      <c r="P16" s="2" t="n">
        <f aca="false">Q16/$Q$22*100</f>
        <v>0.237737163843507</v>
      </c>
      <c r="Q16" s="2" t="n">
        <f aca="false">S16/R16</f>
        <v>2.27478913640626</v>
      </c>
      <c r="R16" s="2" t="n">
        <f aca="false">E17</f>
        <v>44</v>
      </c>
      <c r="S16" s="2" t="n">
        <f aca="false">F17</f>
        <v>100.090722001875</v>
      </c>
      <c r="T16" s="2" t="n">
        <f aca="false">S16/$S$22%</f>
        <v>0.356844279435784</v>
      </c>
      <c r="U16" s="68" t="n">
        <f aca="false">'gas cooler'!U13</f>
        <v>34.14</v>
      </c>
      <c r="V16" s="2" t="n">
        <f aca="false">'gas cooler'!V13</f>
        <v>0.04002</v>
      </c>
      <c r="W16" s="2" t="n">
        <f aca="false">'gas cooler'!W13</f>
        <v>0.00015634</v>
      </c>
      <c r="X16" s="2" t="n">
        <f aca="false">'gas cooler'!X13</f>
        <v>1.6445E-007</v>
      </c>
      <c r="Y16" s="2" t="n">
        <f aca="false">'gas cooler'!Y13</f>
        <v>4.7248E-011</v>
      </c>
      <c r="Z16" s="2" t="n">
        <f aca="false">$J$12</f>
        <v>373.15</v>
      </c>
      <c r="AB16" s="14" t="n">
        <f aca="false">Q16*1000*(U16*Z16+V16/2*Z16^2+W16/3*Z16^3+X16/4*Z16^4+Y16/5*Z16^5)</f>
        <v>43445511.8369663</v>
      </c>
      <c r="AC16" s="14"/>
      <c r="AD16" s="14" t="n">
        <f aca="false">H17-AB16</f>
        <v>16478980.8418787</v>
      </c>
      <c r="AE16" s="14" t="n">
        <f aca="false">AD16*-1</f>
        <v>-16478980.8418787</v>
      </c>
      <c r="AL16" s="1"/>
      <c r="AM16" s="14"/>
      <c r="AN16" s="14"/>
      <c r="AO16" s="14"/>
    </row>
    <row r="17" customFormat="false" ht="12.8" hidden="false" customHeight="false" outlineLevel="0" collapsed="false">
      <c r="B17" s="69" t="str">
        <f aca="false">r2!M11</f>
        <v>acetaldehyde</v>
      </c>
      <c r="C17" s="2" t="n">
        <f aca="false">r2!N11</f>
        <v>0.21</v>
      </c>
      <c r="D17" s="2" t="n">
        <f aca="false">r2!O11</f>
        <v>2.27478913640626</v>
      </c>
      <c r="E17" s="2" t="n">
        <f aca="false">r2!P11</f>
        <v>44</v>
      </c>
      <c r="F17" s="69" t="n">
        <f aca="false">r2!Q11</f>
        <v>100.090722001875</v>
      </c>
      <c r="G17" s="2" t="n">
        <f aca="false">r2!R11</f>
        <v>0.293371208405362</v>
      </c>
      <c r="H17" s="14" t="n">
        <f aca="false">'gas cooler'!Z13</f>
        <v>59924492.6788449</v>
      </c>
      <c r="O17" s="68" t="s">
        <v>29</v>
      </c>
      <c r="P17" s="2" t="n">
        <f aca="false">Q17/$Q$22*100</f>
        <v>0.0452832693035252</v>
      </c>
      <c r="Q17" s="2" t="n">
        <f aca="false">S17/R17</f>
        <v>0.433293168839288</v>
      </c>
      <c r="R17" s="2" t="n">
        <f aca="false">E18</f>
        <v>56</v>
      </c>
      <c r="S17" s="2" t="n">
        <f aca="false">F18</f>
        <v>24.2644174550001</v>
      </c>
      <c r="T17" s="2" t="n">
        <f aca="false">S17/$S$22%</f>
        <v>0.0865077041056447</v>
      </c>
      <c r="U17" s="68" t="n">
        <f aca="false">'gas cooler'!U14</f>
        <v>109.243</v>
      </c>
      <c r="V17" s="2" t="n">
        <f aca="false">'gas cooler'!V14</f>
        <v>-0.50952</v>
      </c>
      <c r="W17" s="2" t="n">
        <f aca="false">'gas cooler'!W14</f>
        <v>0.0017059</v>
      </c>
      <c r="X17" s="2" t="n">
        <f aca="false">'gas cooler'!X14</f>
        <v>-1.8068E-006</v>
      </c>
      <c r="Y17" s="2" t="n">
        <f aca="false">'gas cooler'!Y14</f>
        <v>6.5983E-010</v>
      </c>
      <c r="Z17" s="2" t="n">
        <f aca="false">$J$12</f>
        <v>373.15</v>
      </c>
      <c r="AB17" s="14" t="n">
        <f aca="false">Q17*1000*(U17*Z17+V17/2*Z17^2+W17/3*Z17^3+X17/4*Z17^4+Y17/5*Z17^5)</f>
        <v>11713244.0129818</v>
      </c>
      <c r="AC17" s="14"/>
      <c r="AD17" s="14" t="n">
        <f aca="false">H18-AB17</f>
        <v>2835545.54209694</v>
      </c>
      <c r="AE17" s="14" t="n">
        <f aca="false">AD17*-1</f>
        <v>-2835545.54209694</v>
      </c>
      <c r="AL17" s="1"/>
      <c r="AM17" s="14"/>
      <c r="AN17" s="14"/>
      <c r="AO17" s="14"/>
    </row>
    <row r="18" customFormat="false" ht="12.8" hidden="false" customHeight="false" outlineLevel="0" collapsed="false">
      <c r="B18" s="69" t="str">
        <f aca="false">r2!M12</f>
        <v>acrolein</v>
      </c>
      <c r="C18" s="2" t="n">
        <f aca="false">r2!N12</f>
        <v>0.04</v>
      </c>
      <c r="D18" s="2" t="n">
        <f aca="false">r2!O12</f>
        <v>0.433293168839288</v>
      </c>
      <c r="E18" s="2" t="n">
        <f aca="false">r2!P12</f>
        <v>56</v>
      </c>
      <c r="F18" s="69" t="n">
        <f aca="false">r2!Q12</f>
        <v>24.2644174550001</v>
      </c>
      <c r="G18" s="2" t="n">
        <f aca="false">r2!R12</f>
        <v>0.0711202929467544</v>
      </c>
      <c r="H18" s="14" t="n">
        <f aca="false">'gas cooler'!Z14</f>
        <v>14548789.5550787</v>
      </c>
      <c r="K18" s="68"/>
      <c r="O18" s="68" t="s">
        <v>32</v>
      </c>
      <c r="P18" s="2" t="n">
        <f aca="false">Q18/$Q$22*100</f>
        <v>7.35853126182284</v>
      </c>
      <c r="Q18" s="2" t="n">
        <f aca="false">S18/R18</f>
        <v>70.4101399363843</v>
      </c>
      <c r="R18" s="2" t="n">
        <v>32</v>
      </c>
      <c r="S18" s="2" t="n">
        <f aca="false">F21</f>
        <v>2253.1244779643</v>
      </c>
      <c r="T18" s="2" t="n">
        <f aca="false">S18/$S$22%</f>
        <v>8.03285823838129</v>
      </c>
      <c r="U18" s="68" t="n">
        <f aca="false">'gas cooler'!U17</f>
        <v>31.32234</v>
      </c>
      <c r="V18" s="2" t="n">
        <f aca="false">'gas cooler'!V17</f>
        <v>-0.02023531</v>
      </c>
      <c r="W18" s="2" t="n">
        <f aca="false">'gas cooler'!W17</f>
        <v>5.786644E-005</v>
      </c>
      <c r="X18" s="2" t="n">
        <f aca="false">'gas cooler'!X17</f>
        <v>-3.650624E-008</v>
      </c>
      <c r="Y18" s="2" t="n">
        <f aca="false">'gas cooler'!Y17</f>
        <v>7.374E-015</v>
      </c>
      <c r="Z18" s="2" t="n">
        <f aca="false">$J$12</f>
        <v>373.15</v>
      </c>
      <c r="AB18" s="14" t="n">
        <f aca="false">Q18*1000*(U18*Z18+V18/2*Z18^2+W18/3*Z18^3+X18/4*Z18^4+Y18/5*Z18^5)</f>
        <v>781862886.704319</v>
      </c>
      <c r="AC18" s="14"/>
      <c r="AD18" s="14" t="n">
        <f aca="false">H21-AB18</f>
        <v>170516332.454682</v>
      </c>
      <c r="AE18" s="14" t="n">
        <f aca="false">AD18*-1</f>
        <v>-170516332.454682</v>
      </c>
      <c r="AL18" s="1"/>
      <c r="AM18" s="14"/>
      <c r="AN18" s="14"/>
      <c r="AO18" s="14"/>
    </row>
    <row r="19" customFormat="false" ht="12.8" hidden="false" customHeight="false" outlineLevel="0" collapsed="false">
      <c r="B19" s="69" t="str">
        <f aca="false">r2!M13</f>
        <v>formaldehyde</v>
      </c>
      <c r="C19" s="2" t="n">
        <f aca="false">r2!N13</f>
        <v>0.03</v>
      </c>
      <c r="D19" s="2" t="n">
        <f aca="false">r2!O13</f>
        <v>0.324969876629466</v>
      </c>
      <c r="E19" s="2" t="n">
        <f aca="false">r2!P13</f>
        <v>30</v>
      </c>
      <c r="F19" s="69" t="n">
        <f aca="false">r2!Q13</f>
        <v>9.74909629888398</v>
      </c>
      <c r="G19" s="2" t="n">
        <f aca="false">r2!R13</f>
        <v>0.028575117701821</v>
      </c>
      <c r="H19" s="14" t="n">
        <f aca="false">'gas cooler'!Z15</f>
        <v>5204607.14622986</v>
      </c>
      <c r="O19" s="68" t="s">
        <v>30</v>
      </c>
      <c r="P19" s="2" t="n">
        <f aca="false">Q19/$Q$22*100</f>
        <v>0.0339624519776439</v>
      </c>
      <c r="Q19" s="2" t="n">
        <f aca="false">S19/R19</f>
        <v>0.324969876629466</v>
      </c>
      <c r="R19" s="2" t="n">
        <f aca="false">E19</f>
        <v>30</v>
      </c>
      <c r="S19" s="2" t="n">
        <f aca="false">F19</f>
        <v>9.74909629888398</v>
      </c>
      <c r="T19" s="2" t="n">
        <f aca="false">S19/$S$22%</f>
        <v>0.0347575596853037</v>
      </c>
      <c r="U19" s="68" t="n">
        <f aca="false">'gas cooler'!U15</f>
        <v>34.428</v>
      </c>
      <c r="V19" s="2" t="n">
        <f aca="false">'gas cooler'!V15</f>
        <v>-0.029779</v>
      </c>
      <c r="W19" s="2" t="n">
        <f aca="false">'gas cooler'!W15</f>
        <v>0.00015104</v>
      </c>
      <c r="X19" s="2" t="n">
        <f aca="false">'gas cooler'!X15</f>
        <v>-1.2733E-007</v>
      </c>
      <c r="Y19" s="2" t="n">
        <f aca="false">'gas cooler'!Y15</f>
        <v>3.3887E-011</v>
      </c>
      <c r="Z19" s="2" t="n">
        <f aca="false">$J$12</f>
        <v>373.15</v>
      </c>
      <c r="AB19" s="14" t="n">
        <f aca="false">Q19*1000*(U19*Z19+V19/2*Z19^2+W19/3*Z19^3+X19/4*Z19^4+Y19/5*Z19^5)</f>
        <v>4166550.0876546</v>
      </c>
      <c r="AC19" s="14"/>
      <c r="AD19" s="14" t="n">
        <f aca="false">H19-AB19</f>
        <v>1038057.05857526</v>
      </c>
      <c r="AE19" s="14" t="n">
        <f aca="false">AD19*-1</f>
        <v>-1038057.05857526</v>
      </c>
      <c r="AL19" s="1"/>
      <c r="AM19" s="14"/>
      <c r="AN19" s="14"/>
      <c r="AO19" s="14"/>
    </row>
    <row r="20" customFormat="false" ht="12.8" hidden="false" customHeight="false" outlineLevel="0" collapsed="false">
      <c r="B20" s="71" t="str">
        <f aca="false">r2!M14</f>
        <v>acrylic acid</v>
      </c>
      <c r="C20" s="2" t="n">
        <f aca="false">r2!N14</f>
        <v>0.03</v>
      </c>
      <c r="D20" s="2" t="n">
        <f aca="false">r2!O14</f>
        <v>0.324969876629466</v>
      </c>
      <c r="E20" s="2" t="n">
        <f aca="false">r2!P14</f>
        <v>72</v>
      </c>
      <c r="F20" s="69" t="n">
        <f aca="false">r2!Q14</f>
        <v>23.3978311173215</v>
      </c>
      <c r="G20" s="2" t="n">
        <f aca="false">r2!R14</f>
        <v>0.0685802824843704</v>
      </c>
      <c r="H20" s="14" t="n">
        <f aca="false">'gas cooler'!Z16</f>
        <v>9076288.59707375</v>
      </c>
      <c r="O20" s="68" t="s">
        <v>34</v>
      </c>
      <c r="P20" s="2" t="n">
        <f aca="false">Q20/$Q$22*100</f>
        <v>3.76257085473938</v>
      </c>
      <c r="Q20" s="2" t="n">
        <f aca="false">S20/R20</f>
        <v>36.0021763822927</v>
      </c>
      <c r="R20" s="2" t="n">
        <v>44</v>
      </c>
      <c r="S20" s="2" t="n">
        <f aca="false">S22-S21-SUM(S13:S19)</f>
        <v>1584.09576082088</v>
      </c>
      <c r="T20" s="2" t="n">
        <f aca="false">S20/$S$22%</f>
        <v>5.64763145895596</v>
      </c>
      <c r="U20" s="68" t="n">
        <f aca="false">'gas cooler'!U19</f>
        <v>27.437</v>
      </c>
      <c r="V20" s="2" t="n">
        <f aca="false">'gas cooler'!V19</f>
        <v>0.042315</v>
      </c>
      <c r="W20" s="2" t="n">
        <f aca="false">'gas cooler'!W19</f>
        <v>-1.9555E-005</v>
      </c>
      <c r="X20" s="2" t="n">
        <f aca="false">'gas cooler'!X19</f>
        <v>3.9968E-009</v>
      </c>
      <c r="Y20" s="2" t="n">
        <f aca="false">'gas cooler'!Y19</f>
        <v>-2.9872E-013</v>
      </c>
      <c r="Z20" s="2" t="n">
        <f aca="false">$J$12</f>
        <v>373.15</v>
      </c>
      <c r="AB20" s="14" t="n">
        <f aca="false">Q20*1000*(U20*Z20+V20/2*Z20^2+W20/3*Z20^3+X20/4*Z20^4+Y20/5*Z20^5)</f>
        <v>463145272.063397</v>
      </c>
      <c r="AC20" s="14"/>
      <c r="AD20" s="14" t="n">
        <f aca="false">H23-AB20</f>
        <v>120525924.432455</v>
      </c>
      <c r="AE20" s="14" t="n">
        <f aca="false">AD20*-1</f>
        <v>-120525924.432455</v>
      </c>
      <c r="AL20" s="1"/>
      <c r="AM20" s="14"/>
      <c r="AN20" s="14"/>
      <c r="AO20" s="14"/>
    </row>
    <row r="21" customFormat="false" ht="12.8" hidden="false" customHeight="false" outlineLevel="0" collapsed="false">
      <c r="B21" s="69" t="str">
        <f aca="false">r2!M15</f>
        <v>oxygen</v>
      </c>
      <c r="C21" s="2" t="n">
        <f aca="false">r2!N15</f>
        <v>6.5</v>
      </c>
      <c r="D21" s="2" t="n">
        <f aca="false">r2!O15</f>
        <v>70.4101399363843</v>
      </c>
      <c r="E21" s="2" t="n">
        <f aca="false">r2!P15</f>
        <v>32</v>
      </c>
      <c r="F21" s="69" t="n">
        <f aca="false">r2!Q15</f>
        <v>2253.1244779643</v>
      </c>
      <c r="G21" s="2" t="n">
        <f aca="false">r2!R15</f>
        <v>6.60402720219863</v>
      </c>
      <c r="H21" s="14" t="n">
        <f aca="false">'gas cooler'!Z17</f>
        <v>952379219.159001</v>
      </c>
      <c r="O21" s="68" t="s">
        <v>16</v>
      </c>
      <c r="P21" s="2" t="n">
        <f aca="false">Q21/$Q$22*100</f>
        <v>86.519646945911</v>
      </c>
      <c r="Q21" s="2" t="n">
        <f aca="false">S21/R21</f>
        <v>827.863636363636</v>
      </c>
      <c r="R21" s="2" t="n">
        <v>28</v>
      </c>
      <c r="S21" s="2" t="n">
        <f aca="false">F24</f>
        <v>23180.1818181818</v>
      </c>
      <c r="T21" s="2" t="n">
        <f aca="false">S21/$S$22%</f>
        <v>82.6421781425911</v>
      </c>
      <c r="U21" s="68" t="n">
        <f aca="false">'gas cooler'!U20</f>
        <v>28.98641</v>
      </c>
      <c r="V21" s="2" t="n">
        <f aca="false">'gas cooler'!V20</f>
        <v>0.001853978</v>
      </c>
      <c r="W21" s="2" t="n">
        <f aca="false">'gas cooler'!W20</f>
        <v>-9.647459E-006</v>
      </c>
      <c r="X21" s="2" t="n">
        <f aca="false">'gas cooler'!X20</f>
        <v>1.663537E-008</v>
      </c>
      <c r="Y21" s="2" t="n">
        <f aca="false">'gas cooler'!Y20</f>
        <v>1.17E-016</v>
      </c>
      <c r="Z21" s="2" t="n">
        <f aca="false">$J$12</f>
        <v>373.15</v>
      </c>
      <c r="AB21" s="14" t="n">
        <f aca="false">Q21*1000*(U21*Z21+V21/2*Z21^2+W21/3*Z21^3+X21/4*Z21^4+Y21/5*Z21^5)</f>
        <v>8989687522.9195</v>
      </c>
      <c r="AC21" s="14"/>
      <c r="AD21" s="14" t="n">
        <f aca="false">H24-AB21</f>
        <v>1939495002.97669</v>
      </c>
      <c r="AE21" s="14" t="n">
        <f aca="false">AD21*-1</f>
        <v>-1939495002.97669</v>
      </c>
      <c r="AL21" s="1"/>
      <c r="AM21" s="14"/>
      <c r="AN21" s="14"/>
      <c r="AO21" s="14"/>
    </row>
    <row r="22" customFormat="false" ht="12.8" hidden="false" customHeight="false" outlineLevel="0" collapsed="false">
      <c r="B22" s="71" t="str">
        <f aca="false">r2!M16</f>
        <v>steam</v>
      </c>
      <c r="C22" s="2" t="n">
        <f aca="false">r2!N16</f>
        <v>18.9837714285714</v>
      </c>
      <c r="D22" s="72" t="n">
        <f aca="false">F22/E22</f>
        <v>205.638461970161</v>
      </c>
      <c r="E22" s="2" t="n">
        <f aca="false">r2!P16</f>
        <v>18</v>
      </c>
      <c r="F22" s="72" t="n">
        <f aca="false">O34</f>
        <v>3701.4923154629</v>
      </c>
      <c r="G22" s="2" t="n">
        <f aca="false">r2!R16</f>
        <v>10.8492700599179</v>
      </c>
      <c r="H22" s="14" t="n">
        <f aca="false">'gas cooler'!Z18</f>
        <v>2986284113.88331</v>
      </c>
      <c r="O22" s="68" t="s">
        <v>17</v>
      </c>
      <c r="Q22" s="2" t="n">
        <f aca="false">SUM(Q13:Q21)</f>
        <v>956.850456037098</v>
      </c>
      <c r="S22" s="69" t="n">
        <f aca="false">F26-O35</f>
        <v>28048.851493467</v>
      </c>
      <c r="AB22" s="14"/>
      <c r="AC22" s="14"/>
      <c r="AD22" s="1"/>
      <c r="AE22" s="73" t="n">
        <f aca="false">SUM(AE13:AE21)</f>
        <v>-2355095147.76289</v>
      </c>
      <c r="AF22" s="14"/>
      <c r="AL22" s="1"/>
      <c r="AM22" s="14"/>
      <c r="AN22" s="14"/>
      <c r="AO22" s="14"/>
    </row>
    <row r="23" customFormat="false" ht="12.8" hidden="false" customHeight="false" outlineLevel="0" collapsed="false">
      <c r="B23" s="69" t="str">
        <f aca="false">r2!M17</f>
        <v>CO2</v>
      </c>
      <c r="C23" s="2" t="n">
        <f aca="false">r2!N17</f>
        <v>3.32358587408483</v>
      </c>
      <c r="D23" s="72" t="n">
        <f aca="false">F23/E23</f>
        <v>36.0021763822927</v>
      </c>
      <c r="E23" s="2" t="n">
        <f aca="false">r2!P17</f>
        <v>44</v>
      </c>
      <c r="F23" s="72" t="n">
        <f aca="false">S20</f>
        <v>1584.09576082088</v>
      </c>
      <c r="G23" s="2" t="n">
        <f aca="false">r2!R17</f>
        <v>4.64306859104408</v>
      </c>
      <c r="H23" s="14" t="n">
        <f aca="false">'gas cooler'!Z19</f>
        <v>583671196.495853</v>
      </c>
      <c r="Q23" s="74" t="n">
        <f aca="false">SUM(Q13:Q21)</f>
        <v>956.850456037098</v>
      </c>
      <c r="R23" s="74"/>
      <c r="S23" s="74" t="n">
        <f aca="false">SUM(S13:S21)</f>
        <v>28048.851493467</v>
      </c>
      <c r="AB23" s="14"/>
      <c r="AC23" s="14"/>
      <c r="AD23" s="1"/>
      <c r="AE23" s="14" t="n">
        <f aca="false">AE22/3600/1000</f>
        <v>-654.193096600803</v>
      </c>
      <c r="AF23" s="14" t="s">
        <v>248</v>
      </c>
      <c r="AL23" s="1"/>
      <c r="AM23" s="14"/>
      <c r="AN23" s="14"/>
      <c r="AO23" s="14"/>
    </row>
    <row r="24" customFormat="false" ht="12.8" hidden="false" customHeight="false" outlineLevel="0" collapsed="false">
      <c r="B24" s="69" t="str">
        <f aca="false">r2!M18</f>
        <v>N2</v>
      </c>
      <c r="C24" s="2" t="n">
        <f aca="false">r2!N18</f>
        <v>76.4252654692277</v>
      </c>
      <c r="D24" s="2" t="n">
        <f aca="false">r2!O18</f>
        <v>827.863636363636</v>
      </c>
      <c r="E24" s="2" t="n">
        <f aca="false">r2!P18</f>
        <v>28</v>
      </c>
      <c r="F24" s="69" t="n">
        <f aca="false">r2!Q18</f>
        <v>23180.1818181818</v>
      </c>
      <c r="G24" s="2" t="n">
        <f aca="false">r2!R18</f>
        <v>67.9423408588119</v>
      </c>
      <c r="H24" s="14" t="n">
        <f aca="false">'gas cooler'!Z20</f>
        <v>10929182525.8962</v>
      </c>
      <c r="AL24" s="1"/>
      <c r="AM24" s="14"/>
      <c r="AN24" s="14"/>
      <c r="AO24" s="14"/>
    </row>
    <row r="25" customFormat="false" ht="12.8" hidden="false" customHeight="false" outlineLevel="0" collapsed="false">
      <c r="B25" s="71" t="str">
        <f aca="false">r2!M19</f>
        <v>Impurity</v>
      </c>
      <c r="C25" s="2" t="n">
        <f aca="false">r2!N19</f>
        <v>0.00337487091222031</v>
      </c>
      <c r="D25" s="72" t="n">
        <f aca="false">F25/E25</f>
        <v>0.0365577127994869</v>
      </c>
      <c r="E25" s="2" t="n">
        <f aca="false">r2!P19</f>
        <v>166</v>
      </c>
      <c r="F25" s="72" t="n">
        <f aca="false">O31</f>
        <v>6.06858032471483</v>
      </c>
      <c r="G25" s="2" t="n">
        <f aca="false">r2!R19</f>
        <v>0.0177873304094383</v>
      </c>
      <c r="H25" s="14" t="n">
        <f aca="false">'gas cooler'!Z21</f>
        <v>1359316.40760687</v>
      </c>
      <c r="AL25" s="1"/>
      <c r="AM25" s="14"/>
      <c r="AN25" s="14"/>
      <c r="AO25" s="14"/>
    </row>
    <row r="26" customFormat="false" ht="12.8" hidden="false" customHeight="false" outlineLevel="0" collapsed="false">
      <c r="B26" s="2" t="str">
        <f aca="false">r2!M20</f>
        <v>Total</v>
      </c>
      <c r="C26" s="2" t="n">
        <f aca="false">r2!N20</f>
        <v>0</v>
      </c>
      <c r="D26" s="2" t="n">
        <f aca="false">r2!O20</f>
        <v>1083.23292209822</v>
      </c>
      <c r="E26" s="2" t="n">
        <f aca="false">r2!P20</f>
        <v>0</v>
      </c>
      <c r="F26" s="69" t="n">
        <f aca="false">r2!Q20</f>
        <v>34117.4318181818</v>
      </c>
      <c r="H26" s="14" t="n">
        <f aca="false">'gas cooler'!Z22</f>
        <v>16756143347.4839</v>
      </c>
      <c r="AL26" s="1"/>
      <c r="AM26" s="14"/>
      <c r="AN26" s="73"/>
      <c r="AO26" s="14"/>
    </row>
    <row r="27" customFormat="false" ht="12.8" hidden="false" customHeight="false" outlineLevel="0" collapsed="false">
      <c r="F27" s="2" t="n">
        <f aca="false">SUM(F12:F25)</f>
        <v>34117.4318181818</v>
      </c>
      <c r="T27" s="15" t="s">
        <v>276</v>
      </c>
      <c r="U27" s="15"/>
      <c r="V27" s="15"/>
      <c r="W27" s="15"/>
      <c r="X27" s="2" t="s">
        <v>277</v>
      </c>
      <c r="Y27" s="2" t="s">
        <v>278</v>
      </c>
      <c r="Z27" s="15" t="s">
        <v>276</v>
      </c>
      <c r="AA27" s="15"/>
      <c r="AB27" s="15"/>
      <c r="AC27" s="15"/>
      <c r="AD27" s="15"/>
      <c r="AE27" s="2" t="s">
        <v>279</v>
      </c>
      <c r="AG27" s="2" t="s">
        <v>280</v>
      </c>
      <c r="AI27" s="2" t="s">
        <v>281</v>
      </c>
      <c r="AL27" s="1"/>
      <c r="AM27" s="14"/>
      <c r="AN27" s="14"/>
      <c r="AO27" s="14"/>
    </row>
    <row r="28" customFormat="false" ht="15" hidden="false" customHeight="false" outlineLevel="0" collapsed="false">
      <c r="K28" s="75" t="s">
        <v>282</v>
      </c>
      <c r="L28" s="24" t="s">
        <v>283</v>
      </c>
      <c r="M28" s="24" t="s">
        <v>284</v>
      </c>
      <c r="N28" s="24" t="s">
        <v>57</v>
      </c>
      <c r="O28" s="24" t="s">
        <v>285</v>
      </c>
      <c r="P28" s="24" t="s">
        <v>49</v>
      </c>
      <c r="Q28" s="2" t="s">
        <v>286</v>
      </c>
      <c r="R28" s="2" t="s">
        <v>287</v>
      </c>
      <c r="S28" s="2" t="s">
        <v>272</v>
      </c>
      <c r="T28" s="2" t="s">
        <v>288</v>
      </c>
      <c r="U28" s="2" t="s">
        <v>289</v>
      </c>
      <c r="V28" s="2" t="s">
        <v>290</v>
      </c>
      <c r="W28" s="2" t="s">
        <v>291</v>
      </c>
      <c r="X28" s="2" t="s">
        <v>292</v>
      </c>
      <c r="Y28" s="2" t="s">
        <v>293</v>
      </c>
      <c r="Z28" s="2" t="s">
        <v>294</v>
      </c>
      <c r="AA28" s="2" t="s">
        <v>295</v>
      </c>
      <c r="AB28" s="2" t="s">
        <v>296</v>
      </c>
      <c r="AC28" s="2" t="s">
        <v>297</v>
      </c>
      <c r="AD28" s="2" t="s">
        <v>298</v>
      </c>
      <c r="AE28" s="2" t="s">
        <v>299</v>
      </c>
      <c r="AG28" s="2" t="s">
        <v>300</v>
      </c>
      <c r="AH28" s="2" t="s">
        <v>301</v>
      </c>
      <c r="AI28" s="2" t="s">
        <v>302</v>
      </c>
      <c r="AK28" s="2" t="s">
        <v>241</v>
      </c>
      <c r="AL28" s="1"/>
    </row>
    <row r="29" customFormat="false" ht="15" hidden="false" customHeight="false" outlineLevel="0" collapsed="false">
      <c r="H29" s="2" t="s">
        <v>303</v>
      </c>
      <c r="K29" s="24" t="s">
        <v>25</v>
      </c>
      <c r="L29" s="24" t="n">
        <f aca="false">M29/$M$35*100</f>
        <v>10.5442532729391</v>
      </c>
      <c r="M29" s="24" t="n">
        <f aca="false">O29/N29</f>
        <v>24.6977106238394</v>
      </c>
      <c r="N29" s="24" t="n">
        <f aca="false">E14</f>
        <v>86</v>
      </c>
      <c r="O29" s="24" t="n">
        <f aca="false">F14</f>
        <v>2124.00311365019</v>
      </c>
      <c r="P29" s="76" t="n">
        <v>35</v>
      </c>
      <c r="Q29" s="2" t="n">
        <v>-33.22</v>
      </c>
      <c r="R29" s="2" t="n">
        <v>443.15</v>
      </c>
      <c r="S29" s="2" t="n">
        <f aca="false">$J$12</f>
        <v>373.15</v>
      </c>
      <c r="T29" s="2" t="n">
        <v>-7.089</v>
      </c>
      <c r="U29" s="14" t="n">
        <v>1.2882</v>
      </c>
      <c r="V29" s="14" t="n">
        <v>-0.0032195</v>
      </c>
      <c r="W29" s="14" t="n">
        <v>3.1623E-006</v>
      </c>
      <c r="X29" s="14" t="n">
        <f aca="false">M29*1000*(T29*$R29+U29/2*$R29^2+V29/3*$R29^3+W29/4*$R29^4)</f>
        <v>1492808947.37788</v>
      </c>
      <c r="Y29" s="14" t="n">
        <f aca="false">M29*1000*(T29*$S29+U29/2*$S29^2+V29/3*$S29^3+W29/4*$S29^4)</f>
        <v>1151115529.63282</v>
      </c>
      <c r="Z29" s="2" t="n">
        <f aca="false">'gas cooler'!U10</f>
        <v>-28.131</v>
      </c>
      <c r="AA29" s="2" t="n">
        <f aca="false">'gas cooler'!V10</f>
        <v>0.54744</v>
      </c>
      <c r="AB29" s="2" t="n">
        <f aca="false">'gas cooler'!W10</f>
        <v>-0.00053877</v>
      </c>
      <c r="AC29" s="2" t="n">
        <f aca="false">'gas cooler'!X10</f>
        <v>2.8583E-007</v>
      </c>
      <c r="AD29" s="2" t="n">
        <f aca="false">'gas cooler'!Y10</f>
        <v>-6.0864E-011</v>
      </c>
      <c r="AE29" s="14" t="n">
        <f aca="false">M29*1000*(Z29*R29+AA29/2*R29^2+AB29/3*R29^3+AC29/4*R29^4+AD29/5*R29^5)</f>
        <v>696625414.851576</v>
      </c>
      <c r="AF29" s="14"/>
      <c r="AG29" s="14" t="n">
        <f aca="false">-(H14-AE29)</f>
        <v>-32667154.6094395</v>
      </c>
      <c r="AH29" s="14" t="n">
        <f aca="false">Q29*1000*M29*1000</f>
        <v>-820457946.923945</v>
      </c>
      <c r="AI29" s="14" t="n">
        <f aca="false">Y29-X29</f>
        <v>-341693417.745058</v>
      </c>
      <c r="AK29" s="14" t="n">
        <f aca="false">AG29+AH29+AI29</f>
        <v>-1194818519.27844</v>
      </c>
      <c r="AL29" s="1"/>
    </row>
    <row r="30" customFormat="false" ht="15" hidden="false" customHeight="false" outlineLevel="0" collapsed="false">
      <c r="H30" s="2" t="s">
        <v>304</v>
      </c>
      <c r="K30" s="24" t="s">
        <v>22</v>
      </c>
      <c r="L30" s="24" t="n">
        <f aca="false">M30/$M$35*100</f>
        <v>0.0740249617528783</v>
      </c>
      <c r="M30" s="24" t="n">
        <f aca="false">O30/N30</f>
        <v>0.173388009277566</v>
      </c>
      <c r="N30" s="24" t="n">
        <f aca="false">E12</f>
        <v>70</v>
      </c>
      <c r="O30" s="24" t="n">
        <f aca="false">$O$35*P30/100</f>
        <v>12.1371606494297</v>
      </c>
      <c r="P30" s="76" t="n">
        <v>0.2</v>
      </c>
      <c r="Q30" s="2" t="n">
        <f aca="false">-29.74</f>
        <v>-29.74</v>
      </c>
      <c r="R30" s="2" t="n">
        <v>341.15</v>
      </c>
      <c r="S30" s="2" t="n">
        <f aca="false">341.15</f>
        <v>341.15</v>
      </c>
      <c r="T30" s="2" t="n">
        <v>42.511</v>
      </c>
      <c r="U30" s="14" t="n">
        <v>0.68698</v>
      </c>
      <c r="V30" s="14" t="n">
        <v>-0.0021841</v>
      </c>
      <c r="W30" s="14" t="n">
        <v>2.9238E-006</v>
      </c>
      <c r="X30" s="14" t="n">
        <f aca="false">M30*1000*(T30*$R30+U30/2*$R30^2+V30/3*$R30^3+W30/4*$R30^4)</f>
        <v>6150757.59013071</v>
      </c>
      <c r="Y30" s="14" t="n">
        <f aca="false">M30*1000*(T30*$S30+U30/2*$S30^2+V30/3*$S30^3+W30/4*$S30^4)</f>
        <v>6150757.59013071</v>
      </c>
      <c r="Z30" s="2" t="n">
        <f aca="false">'gas cooler'!U8</f>
        <v>14.506</v>
      </c>
      <c r="AA30" s="2" t="n">
        <f aca="false">'gas cooler'!V8</f>
        <v>0.15922</v>
      </c>
      <c r="AB30" s="2" t="n">
        <f aca="false">'gas cooler'!W8</f>
        <v>0.0003118</v>
      </c>
      <c r="AC30" s="2" t="n">
        <f aca="false">'gas cooler'!X8</f>
        <v>-4.21E-007</v>
      </c>
      <c r="AD30" s="2" t="n">
        <f aca="false">'gas cooler'!Y8</f>
        <v>1.4222E-010</v>
      </c>
      <c r="AE30" s="14" t="n">
        <f aca="false">M30*1000*(Z30*R30+AA30/2*R30^2+AB30/3*R30^3+AC30/4*R30^4+AD30/5*R30^5)</f>
        <v>2955641.79958059</v>
      </c>
      <c r="AF30" s="14"/>
      <c r="AG30" s="14" t="n">
        <f aca="false">-(H12-AE30)</f>
        <v>-214647550.398318</v>
      </c>
      <c r="AH30" s="14" t="n">
        <f aca="false">Q30*1000*M30*1000</f>
        <v>-5156559.39591483</v>
      </c>
      <c r="AI30" s="14" t="n">
        <f aca="false">Y30-X30</f>
        <v>0</v>
      </c>
      <c r="AK30" s="14" t="n">
        <f aca="false">AG30+AH30+AI30</f>
        <v>-219804109.794233</v>
      </c>
      <c r="AL30" s="1"/>
    </row>
    <row r="31" customFormat="false" ht="15" hidden="false" customHeight="false" outlineLevel="0" collapsed="false">
      <c r="D31" s="2" t="s">
        <v>305</v>
      </c>
      <c r="K31" s="24" t="s">
        <v>225</v>
      </c>
      <c r="L31" s="24" t="n">
        <f aca="false">M31/$M$35*100</f>
        <v>0.0156076726587394</v>
      </c>
      <c r="M31" s="24" t="n">
        <f aca="false">O31/N31</f>
        <v>0.0365577127994869</v>
      </c>
      <c r="N31" s="24" t="n">
        <f aca="false">E25</f>
        <v>166</v>
      </c>
      <c r="O31" s="24" t="n">
        <f aca="false">$O$35*P31/100</f>
        <v>6.06858032471483</v>
      </c>
      <c r="P31" s="76" t="n">
        <f aca="false">1000*10^-6*100</f>
        <v>0.1</v>
      </c>
      <c r="S31" s="2" t="n">
        <f aca="false">$J$12</f>
        <v>373.15</v>
      </c>
      <c r="T31" s="2" t="n">
        <v>-26</v>
      </c>
      <c r="U31" s="14" t="n">
        <v>0.634</v>
      </c>
      <c r="V31" s="14" t="n">
        <v>0</v>
      </c>
      <c r="W31" s="14" t="n">
        <v>0</v>
      </c>
      <c r="X31" s="14" t="n">
        <f aca="false">M31*1000*(T31*$R31+U31/2*$R31^2+V31/3*$R31^3+W31/4*$R31^4)</f>
        <v>0</v>
      </c>
      <c r="Y31" s="14" t="n">
        <f aca="false">M31*1000*(T31*$S31+U31/2*$S31^2+V31/3*$S31^3+W31/4*$S31^4)</f>
        <v>1258955.22672758</v>
      </c>
      <c r="Z31" s="2" t="n">
        <f aca="false">'gas cooler'!U21</f>
        <v>-48.374</v>
      </c>
      <c r="AA31" s="2" t="n">
        <f aca="false">'gas cooler'!V21</f>
        <v>0.69316</v>
      </c>
      <c r="AB31" s="2" t="n">
        <f aca="false">'gas cooler'!W21</f>
        <v>-0.00041468</v>
      </c>
      <c r="AC31" s="2" t="n">
        <f aca="false">'gas cooler'!X21</f>
        <v>7.2672E-008</v>
      </c>
      <c r="AD31" s="2" t="n">
        <f aca="false">'gas cooler'!Y21</f>
        <v>8.1593E-012</v>
      </c>
      <c r="AE31" s="14" t="n">
        <f aca="false">M31*1000*(Z31*R31+AA31/2*R31^2+AB31/3*R31^3+AC31/4*R31^4+AD31/5*R31^5)</f>
        <v>0</v>
      </c>
      <c r="AF31" s="14"/>
      <c r="AG31" s="14" t="n">
        <v>0</v>
      </c>
      <c r="AH31" s="14" t="n">
        <f aca="false">Q31*1000*M31*1000</f>
        <v>0</v>
      </c>
      <c r="AI31" s="14" t="n">
        <f aca="false">Y31-X31</f>
        <v>1258955.22672758</v>
      </c>
      <c r="AK31" s="14" t="n">
        <f aca="false">AG31+AH31+AI31</f>
        <v>1258955.22672758</v>
      </c>
      <c r="AL31" s="1"/>
    </row>
    <row r="32" customFormat="false" ht="15" hidden="false" customHeight="false" outlineLevel="0" collapsed="false">
      <c r="D32" s="14" t="n">
        <f aca="false">H26-(AK35+AE22)</f>
        <v>29562552678.5488</v>
      </c>
      <c r="E32" s="2" t="s">
        <v>306</v>
      </c>
      <c r="K32" s="24" t="s">
        <v>31</v>
      </c>
      <c r="L32" s="24" t="n">
        <f aca="false">M32/$M$35*100</f>
        <v>0.138740174643935</v>
      </c>
      <c r="M32" s="24" t="n">
        <f aca="false">O32/N32</f>
        <v>0.324969876629466</v>
      </c>
      <c r="N32" s="24" t="n">
        <f aca="false">E20</f>
        <v>72</v>
      </c>
      <c r="O32" s="24" t="n">
        <f aca="false">F20</f>
        <v>23.3978311173215</v>
      </c>
      <c r="P32" s="24" t="n">
        <f aca="false">O32/$O$35*100</f>
        <v>0.385556915544676</v>
      </c>
      <c r="Q32" s="2" t="n">
        <f aca="false">-42.52</f>
        <v>-42.52</v>
      </c>
      <c r="R32" s="2" t="n">
        <v>414.15</v>
      </c>
      <c r="S32" s="2" t="n">
        <f aca="false">$J$12</f>
        <v>373.15</v>
      </c>
      <c r="T32" s="2" t="n">
        <v>-18.242</v>
      </c>
      <c r="U32" s="14" t="n">
        <v>1.2106</v>
      </c>
      <c r="V32" s="14" t="n">
        <v>-0.003116</v>
      </c>
      <c r="W32" s="14" t="n">
        <v>3.1409E-006</v>
      </c>
      <c r="X32" s="14" t="n">
        <f aca="false">M32*1000*(T32*$R32+U32/2*$R32^2+V32/3*$R32^3+W32/4*$R32^4)</f>
        <v>14813802.7128885</v>
      </c>
      <c r="Y32" s="14" t="n">
        <f aca="false">M32*1000*(T32*$S32+U32/2*$S32^2+V32/3*$S32^3+W32/4*$S32^4)</f>
        <v>12586965.3676588</v>
      </c>
      <c r="Z32" s="2" t="n">
        <f aca="false">'gas cooler'!U16</f>
        <v>7.755</v>
      </c>
      <c r="AA32" s="2" t="n">
        <f aca="false">'gas cooler'!V16</f>
        <v>0.29386</v>
      </c>
      <c r="AB32" s="2" t="n">
        <f aca="false">'gas cooler'!W16</f>
        <v>-0.00020878</v>
      </c>
      <c r="AC32" s="2" t="n">
        <f aca="false">'gas cooler'!X16</f>
        <v>7.1591E-008</v>
      </c>
      <c r="AD32" s="2" t="n">
        <f aca="false">'gas cooler'!Y16</f>
        <v>-9.096E-012</v>
      </c>
      <c r="AE32" s="14" t="n">
        <f aca="false">M32*1000*(Z32*R32+AA32/2*R32^2+AB32/3*R32^3+AC32/4*R32^4+AD32/5*R32^5)</f>
        <v>7790828.58114484</v>
      </c>
      <c r="AF32" s="14"/>
      <c r="AG32" s="14" t="n">
        <f aca="false">-(H20-AE32)</f>
        <v>-1285460.0159289</v>
      </c>
      <c r="AH32" s="14" t="n">
        <f aca="false">Q32*1000*M32*1000</f>
        <v>-13817719.1542849</v>
      </c>
      <c r="AI32" s="14" t="n">
        <f aca="false">Y32-X32</f>
        <v>-2226837.34522969</v>
      </c>
      <c r="AK32" s="14" t="n">
        <f aca="false">AG32+AH32+AI32</f>
        <v>-17330016.5154435</v>
      </c>
      <c r="AL32" s="1"/>
    </row>
    <row r="33" customFormat="false" ht="15" hidden="false" customHeight="false" outlineLevel="0" collapsed="false">
      <c r="D33" s="14" t="n">
        <f aca="false">D32/3600</f>
        <v>8211820.18848579</v>
      </c>
      <c r="E33" s="2" t="s">
        <v>63</v>
      </c>
      <c r="K33" s="24" t="s">
        <v>60</v>
      </c>
      <c r="L33" s="24" t="n">
        <f aca="false">M33/$M$35*100</f>
        <v>1.43364847132066</v>
      </c>
      <c r="M33" s="24" t="n">
        <f aca="false">O33/N33</f>
        <v>3.35802205850448</v>
      </c>
      <c r="N33" s="24" t="n">
        <f aca="false">E15</f>
        <v>60</v>
      </c>
      <c r="O33" s="24" t="n">
        <f aca="false">F15</f>
        <v>201.481323510269</v>
      </c>
      <c r="P33" s="24" t="n">
        <f aca="false">O33/$O$35*100</f>
        <v>3.32007343941248</v>
      </c>
      <c r="Q33" s="2" t="n">
        <f aca="false">-23.33</f>
        <v>-23.33</v>
      </c>
      <c r="R33" s="2" t="n">
        <v>391.05</v>
      </c>
      <c r="S33" s="2" t="n">
        <f aca="false">$J$12</f>
        <v>373.15</v>
      </c>
      <c r="T33" s="2" t="n">
        <v>-18.944</v>
      </c>
      <c r="U33" s="14" t="n">
        <v>1.0971</v>
      </c>
      <c r="V33" s="14" t="n">
        <v>-0.0028921</v>
      </c>
      <c r="W33" s="14" t="n">
        <v>2.9275E-006</v>
      </c>
      <c r="X33" s="14" t="n">
        <f aca="false">M33*1000*(T33*$R33+U33/2*$R33^2+V33/3*$R33^3+W33/4*$R33^4)</f>
        <v>120694779.181675</v>
      </c>
      <c r="Y33" s="14" t="n">
        <f aca="false">M33*1000*(T33*$S33+U33/2*$S33^2+V33/3*$S33^3+W33/4*$S33^4)</f>
        <v>112199136.455983</v>
      </c>
      <c r="Z33" s="2" t="n">
        <f aca="false">'gas cooler'!U11</f>
        <v>34.85</v>
      </c>
      <c r="AA33" s="2" t="n">
        <f aca="false">'gas cooler'!V11</f>
        <v>0.037626</v>
      </c>
      <c r="AB33" s="2" t="n">
        <f aca="false">'gas cooler'!W11</f>
        <v>0.00028311</v>
      </c>
      <c r="AC33" s="2" t="n">
        <f aca="false">'gas cooler'!X11</f>
        <v>-3.0767E-007</v>
      </c>
      <c r="AD33" s="2" t="n">
        <f aca="false">'gas cooler'!Y11</f>
        <v>9.2646E-011</v>
      </c>
      <c r="AE33" s="14" t="n">
        <f aca="false">M33*1000*(Z33*R33+AA33/2*R33^2+AB33/3*R33^3+AC33/4*R33^4+AD33/5*R33^5)</f>
        <v>68903279.7002783</v>
      </c>
      <c r="AF33" s="14"/>
      <c r="AG33" s="14" t="n">
        <f aca="false">-(H15-AE33)</f>
        <v>-16885656.6625028</v>
      </c>
      <c r="AH33" s="14" t="n">
        <f aca="false">Q33*1000*M33*1000</f>
        <v>-78342654.6249095</v>
      </c>
      <c r="AI33" s="14" t="n">
        <f aca="false">Y33-X33</f>
        <v>-8495642.7256926</v>
      </c>
      <c r="AK33" s="14" t="n">
        <f aca="false">AG33+AH33+AI33</f>
        <v>-103723954.013105</v>
      </c>
      <c r="AL33" s="1"/>
      <c r="AU33" s="14"/>
    </row>
    <row r="34" customFormat="false" ht="15" hidden="false" customHeight="false" outlineLevel="0" collapsed="false">
      <c r="D34" s="2" t="n">
        <f aca="false">D33/10^6</f>
        <v>8.21182018848579</v>
      </c>
      <c r="E34" s="2" t="s">
        <v>57</v>
      </c>
      <c r="K34" s="24" t="s">
        <v>61</v>
      </c>
      <c r="L34" s="24" t="n">
        <f aca="false">M34/$M$35*100</f>
        <v>87.7937254466848</v>
      </c>
      <c r="M34" s="24" t="n">
        <f aca="false">O34/N34</f>
        <v>205.638461970161</v>
      </c>
      <c r="N34" s="24" t="n">
        <v>18</v>
      </c>
      <c r="O34" s="77" t="n">
        <f aca="false">O35-SUM(O29:O33)</f>
        <v>3701.4923154629</v>
      </c>
      <c r="P34" s="24" t="n">
        <f aca="false">O34/$O$35*100</f>
        <v>60.9943696450428</v>
      </c>
      <c r="Q34" s="2" t="n">
        <f aca="false">-40.65</f>
        <v>-40.65</v>
      </c>
      <c r="R34" s="2" t="n">
        <v>373.15</v>
      </c>
      <c r="S34" s="2" t="n">
        <f aca="false">$J$12</f>
        <v>373.15</v>
      </c>
      <c r="T34" s="2" t="n">
        <v>92.053</v>
      </c>
      <c r="U34" s="14" t="n">
        <f aca="false">-0.0399</f>
        <v>-0.0399</v>
      </c>
      <c r="V34" s="14" t="n">
        <f aca="false">-0.00021103</f>
        <v>-0.00021103</v>
      </c>
      <c r="W34" s="14" t="n">
        <v>5.3469E-007</v>
      </c>
      <c r="X34" s="14" t="n">
        <f aca="false">M34*1000*(T34*$R34+U34/2*$R34^2+V34/3*$R34^3+W34/4*$R34^4)</f>
        <v>6273718188.23452</v>
      </c>
      <c r="Y34" s="14" t="n">
        <f aca="false">M34*1000*(T34*$S34+U34/2*$S34^2+V34/3*$S34^3+W34/4*$S34^4)</f>
        <v>6273718188.23452</v>
      </c>
      <c r="Z34" s="2" t="n">
        <f aca="false">'gas cooler'!U18</f>
        <v>30.092</v>
      </c>
      <c r="AA34" s="2" t="n">
        <f aca="false">'gas cooler'!V18</f>
        <v>0.006832514</v>
      </c>
      <c r="AB34" s="2" t="n">
        <f aca="false">'gas cooler'!W18</f>
        <v>6.793435E-006</v>
      </c>
      <c r="AC34" s="2" t="n">
        <f aca="false">'gas cooler'!X18</f>
        <v>-2.53448E-009</v>
      </c>
      <c r="AD34" s="2" t="n">
        <f aca="false">'gas cooler'!Y18</f>
        <v>8.2139E-014</v>
      </c>
      <c r="AE34" s="14" t="n">
        <f aca="false">M34*1000*(Z34*R34+AA34/2*R34^2+AB34/3*R34^3+AC34/4*R34^4+AD34/5*R34^5)</f>
        <v>2428591054.04278</v>
      </c>
      <c r="AF34" s="14"/>
      <c r="AG34" s="14" t="n">
        <f aca="false">-(H22-AE34)</f>
        <v>-557693059.840533</v>
      </c>
      <c r="AH34" s="14" t="n">
        <f aca="false">Q34*1000*M34*1000</f>
        <v>-8359203479.08706</v>
      </c>
      <c r="AI34" s="14" t="n">
        <f aca="false">Y34-X34</f>
        <v>0</v>
      </c>
      <c r="AK34" s="14" t="n">
        <f aca="false">AG34+AH34+AI34</f>
        <v>-8916896538.92759</v>
      </c>
      <c r="AL34" s="1"/>
      <c r="AU34" s="14"/>
    </row>
    <row r="35" customFormat="false" ht="15" hidden="false" customHeight="false" outlineLevel="0" collapsed="false">
      <c r="K35" s="24" t="s">
        <v>17</v>
      </c>
      <c r="L35" s="24"/>
      <c r="M35" s="24" t="n">
        <f aca="false">SUM(M29:M34)</f>
        <v>234.229110251212</v>
      </c>
      <c r="N35" s="24"/>
      <c r="O35" s="78" t="n">
        <f aca="false">O29/(P29/100)</f>
        <v>6068.58032471483</v>
      </c>
      <c r="P35" s="24" t="n">
        <f aca="false">SUM(P29:P34)</f>
        <v>100</v>
      </c>
      <c r="AG35" s="79" t="n">
        <f aca="false">SUM(AG29:AG34)</f>
        <v>-823178881.526722</v>
      </c>
      <c r="AH35" s="79" t="n">
        <f aca="false">SUM(AH29:AH34)</f>
        <v>-9276978359.18611</v>
      </c>
      <c r="AK35" s="73" t="n">
        <f aca="false">SUM(AK29:AK34)</f>
        <v>-10451314183.3021</v>
      </c>
      <c r="AL35" s="1"/>
      <c r="AU35" s="14"/>
    </row>
    <row r="36" customFormat="false" ht="15" hidden="false" customHeight="false" outlineLevel="0" collapsed="false">
      <c r="K36" s="24"/>
      <c r="L36" s="24"/>
      <c r="M36" s="24" t="n">
        <f aca="false">SUM(M29:M34)</f>
        <v>234.229110251212</v>
      </c>
      <c r="N36" s="24"/>
      <c r="O36" s="24" t="n">
        <f aca="false">SUM(O29:O34)</f>
        <v>6068.58032471483</v>
      </c>
      <c r="P36" s="24"/>
      <c r="AG36" s="79"/>
      <c r="AH36" s="79"/>
      <c r="AK36" s="14" t="n">
        <f aca="false">AK35/1000/3600</f>
        <v>-2903.14282869503</v>
      </c>
      <c r="AL36" s="1" t="s">
        <v>248</v>
      </c>
      <c r="AU36" s="14"/>
    </row>
    <row r="37" customFormat="false" ht="15" hidden="false" customHeight="false" outlineLevel="0" collapsed="false">
      <c r="K37" s="24"/>
      <c r="L37" s="24"/>
      <c r="M37" s="24"/>
      <c r="N37" s="24"/>
      <c r="O37" s="24"/>
      <c r="P37" s="24"/>
      <c r="AG37" s="79"/>
      <c r="AH37" s="79"/>
      <c r="AK37" s="14"/>
      <c r="AL37" s="1"/>
      <c r="AU37" s="14"/>
    </row>
    <row r="38" customFormat="false" ht="12.8" hidden="false" customHeight="false" outlineLevel="0" collapsed="false">
      <c r="B38" s="2" t="s">
        <v>307</v>
      </c>
      <c r="AL38" s="1"/>
      <c r="AU38" s="14"/>
    </row>
    <row r="39" customFormat="false" ht="12.8" hidden="false" customHeight="false" outlineLevel="0" collapsed="false">
      <c r="Y39" s="80"/>
      <c r="Z39" s="68"/>
      <c r="AG39" s="2" t="s">
        <v>308</v>
      </c>
      <c r="AH39" s="14" t="n">
        <f aca="false">-1*(AK36+AE23)</f>
        <v>3557.33592529583</v>
      </c>
      <c r="AI39" s="2" t="s">
        <v>248</v>
      </c>
      <c r="AJ39" s="2" t="s">
        <v>309</v>
      </c>
      <c r="AU39" s="73"/>
    </row>
    <row r="40" customFormat="false" ht="12.8" hidden="false" customHeight="false" outlineLevel="0" collapsed="false">
      <c r="B40" s="2" t="s">
        <v>310</v>
      </c>
      <c r="AC40" s="2" t="s">
        <v>311</v>
      </c>
      <c r="AE40" s="2" t="s">
        <v>201</v>
      </c>
      <c r="AF40" s="2" t="s">
        <v>11</v>
      </c>
    </row>
    <row r="41" customFormat="false" ht="12.8" hidden="false" customHeight="false" outlineLevel="0" collapsed="false">
      <c r="B41" s="2" t="s">
        <v>312</v>
      </c>
      <c r="AD41" s="2" t="s">
        <v>201</v>
      </c>
      <c r="AE41" s="2" t="n">
        <v>15972.4401167393</v>
      </c>
      <c r="AF41" s="2" t="s">
        <v>313</v>
      </c>
      <c r="AG41" s="2" t="n">
        <f aca="false">AE41*18</f>
        <v>287503.922101307</v>
      </c>
      <c r="AH41" s="2" t="s">
        <v>13</v>
      </c>
    </row>
    <row r="42" customFormat="false" ht="12.8" hidden="false" customHeight="false" outlineLevel="0" collapsed="false">
      <c r="B42" s="2" t="s">
        <v>314</v>
      </c>
      <c r="AC42" s="2" t="s">
        <v>73</v>
      </c>
      <c r="AD42" s="2" t="s">
        <v>74</v>
      </c>
      <c r="AE42" s="2" t="s">
        <v>75</v>
      </c>
      <c r="AF42" s="2" t="s">
        <v>152</v>
      </c>
      <c r="AG42" s="2" t="s">
        <v>315</v>
      </c>
      <c r="AH42" s="2" t="s">
        <v>316</v>
      </c>
      <c r="AI42" s="2" t="s">
        <v>317</v>
      </c>
      <c r="AJ42" s="2" t="s">
        <v>318</v>
      </c>
      <c r="AK42" s="2" t="s">
        <v>319</v>
      </c>
      <c r="AL42" s="2" t="s">
        <v>320</v>
      </c>
      <c r="AM42" s="2" t="s">
        <v>321</v>
      </c>
    </row>
    <row r="43" customFormat="false" ht="12.8" hidden="false" customHeight="false" outlineLevel="0" collapsed="false">
      <c r="B43" s="2" t="s">
        <v>322</v>
      </c>
      <c r="W43" s="81"/>
      <c r="X43" s="81"/>
      <c r="Y43" s="81"/>
      <c r="AB43" s="2" t="s">
        <v>61</v>
      </c>
      <c r="AC43" s="2" t="n">
        <f aca="false">T34</f>
        <v>92.053</v>
      </c>
      <c r="AD43" s="14" t="n">
        <f aca="false">U34</f>
        <v>-0.0399</v>
      </c>
      <c r="AE43" s="14" t="n">
        <f aca="false">V34</f>
        <v>-0.00021103</v>
      </c>
      <c r="AF43" s="14" t="n">
        <f aca="false">W34</f>
        <v>5.3469E-007</v>
      </c>
      <c r="AG43" s="2" t="n">
        <f aca="false">25+273.15</f>
        <v>298.15</v>
      </c>
      <c r="AH43" s="2" t="n">
        <f aca="false">273.15+100</f>
        <v>373.15</v>
      </c>
      <c r="AI43" s="14" t="n">
        <f aca="false">AE41*(AC43*AG43+AD43/2*AG43^2+AE43/3*AG43^3+AF43/4*AG43^4)</f>
        <v>397140571.181571</v>
      </c>
      <c r="AJ43" s="14" t="n">
        <f aca="false">AE41*(AC43*AH43+AD43/2*AH43^2+AE43/3*AH43^3+AF43/4*AH43^4)</f>
        <v>487294969.583144</v>
      </c>
      <c r="AK43" s="14" t="n">
        <f aca="false">AJ43-AI43</f>
        <v>90154398.4015725</v>
      </c>
      <c r="AL43" s="2" t="n">
        <f aca="false">AK43/3600</f>
        <v>25042.8884448813</v>
      </c>
      <c r="AM43" s="2" t="n">
        <f aca="false">AL43-AH39</f>
        <v>21485.5525195855</v>
      </c>
    </row>
    <row r="44" customFormat="false" ht="12.8" hidden="false" customHeight="false" outlineLevel="0" collapsed="false">
      <c r="W44" s="81"/>
    </row>
    <row r="45" customFormat="false" ht="12.8" hidden="false" customHeight="false" outlineLevel="0" collapsed="false">
      <c r="B45" s="2" t="s">
        <v>323</v>
      </c>
      <c r="W45" s="81"/>
    </row>
    <row r="46" customFormat="false" ht="12.8" hidden="false" customHeight="false" outlineLevel="0" collapsed="false">
      <c r="W46" s="81"/>
      <c r="AB46" s="2" t="s">
        <v>61</v>
      </c>
      <c r="AC46" s="2" t="n">
        <v>55704.2598131237</v>
      </c>
      <c r="AD46" s="2" t="s">
        <v>13</v>
      </c>
      <c r="AE46" s="2" t="n">
        <f aca="false">AC46/3600</f>
        <v>15.4734055036455</v>
      </c>
      <c r="AF46" s="2" t="s">
        <v>324</v>
      </c>
    </row>
    <row r="47" customFormat="false" ht="12.8" hidden="false" customHeight="false" outlineLevel="0" collapsed="false">
      <c r="W47" s="81"/>
      <c r="AB47" s="2" t="s">
        <v>260</v>
      </c>
      <c r="AC47" s="2" t="n">
        <v>4.18</v>
      </c>
      <c r="AD47" s="2" t="s">
        <v>325</v>
      </c>
    </row>
    <row r="48" customFormat="false" ht="12.8" hidden="false" customHeight="false" outlineLevel="0" collapsed="false">
      <c r="W48" s="81"/>
      <c r="AB48" s="2" t="s">
        <v>315</v>
      </c>
      <c r="AC48" s="2" t="n">
        <v>298.15</v>
      </c>
      <c r="AD48" s="2" t="s">
        <v>175</v>
      </c>
    </row>
    <row r="49" customFormat="false" ht="12.8" hidden="false" customHeight="false" outlineLevel="0" collapsed="false">
      <c r="W49" s="81"/>
      <c r="AB49" s="2" t="s">
        <v>316</v>
      </c>
      <c r="AC49" s="2" t="n">
        <v>353.15</v>
      </c>
      <c r="AD49" s="2" t="s">
        <v>175</v>
      </c>
    </row>
    <row r="50" customFormat="false" ht="12.8" hidden="false" customHeight="false" outlineLevel="0" collapsed="false">
      <c r="AB50" s="2" t="s">
        <v>326</v>
      </c>
      <c r="AC50" s="14" t="n">
        <f aca="false">AC46*AC47*(AC49-AC48)</f>
        <v>12806409.3310371</v>
      </c>
      <c r="AD50" s="2" t="s">
        <v>177</v>
      </c>
    </row>
    <row r="51" customFormat="false" ht="12.8" hidden="false" customHeight="false" outlineLevel="0" collapsed="false">
      <c r="AC51" s="2" t="n">
        <f aca="false">AC50/3600</f>
        <v>3557.33592528809</v>
      </c>
      <c r="AD51" s="2" t="s">
        <v>248</v>
      </c>
    </row>
    <row r="52" customFormat="false" ht="12.8" hidden="false" customHeight="false" outlineLevel="0" collapsed="false">
      <c r="AC52" s="2" t="n">
        <f aca="false">AC51-AH39</f>
        <v>-7.73616193328053E-009</v>
      </c>
    </row>
  </sheetData>
  <mergeCells count="2">
    <mergeCell ref="T27:W27"/>
    <mergeCell ref="Z27:AD2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6:T16"/>
  <sheetViews>
    <sheetView showFormulas="false" showGridLines="true" showRowColHeaders="true" showZeros="true" rightToLeft="false" tabSelected="false" showOutlineSymbols="true" defaultGridColor="true" view="normal" topLeftCell="A1" colorId="64" zoomScale="103" zoomScaleNormal="103" zoomScalePageLayoutView="100" workbookViewId="0">
      <selection pane="topLeft" activeCell="A1" activeCellId="1" sqref="B17:E31 A1"/>
    </sheetView>
  </sheetViews>
  <sheetFormatPr defaultColWidth="11.53515625" defaultRowHeight="12.8" zeroHeight="false" outlineLevelRow="0" outlineLevelCol="0"/>
  <sheetData>
    <row r="6" customFormat="false" ht="12.8" hidden="false" customHeight="false" outlineLevel="0" collapsed="false">
      <c r="B6" s="1" t="str">
        <f aca="false">quencher!K28</f>
        <v>PS1</v>
      </c>
      <c r="C6" s="1" t="str">
        <f aca="false">quencher!L28</f>
        <v>Mol%</v>
      </c>
      <c r="D6" s="1" t="str">
        <f aca="false">quencher!M28</f>
        <v>Molar flow rate(kmol/h)</v>
      </c>
      <c r="E6" s="1" t="str">
        <f aca="false">quencher!N28</f>
        <v>MW</v>
      </c>
      <c r="F6" s="1" t="str">
        <f aca="false">quencher!O28</f>
        <v>Mass flow rate (kg/h)</v>
      </c>
      <c r="G6" s="1" t="str">
        <f aca="false">quencher!P28</f>
        <v>wt%</v>
      </c>
      <c r="O6" s="1" t="s">
        <v>65</v>
      </c>
      <c r="P6" s="1" t="s">
        <v>10</v>
      </c>
      <c r="Q6" s="1" t="s">
        <v>11</v>
      </c>
      <c r="R6" s="1" t="s">
        <v>12</v>
      </c>
      <c r="S6" s="1" t="s">
        <v>13</v>
      </c>
      <c r="T6" s="1" t="s">
        <v>49</v>
      </c>
    </row>
    <row r="7" customFormat="false" ht="12.8" hidden="false" customHeight="false" outlineLevel="0" collapsed="false">
      <c r="B7" s="1" t="str">
        <f aca="false">quencher!K29</f>
        <v>MAA</v>
      </c>
      <c r="C7" s="2" t="n">
        <f aca="false">quencher!L29</f>
        <v>10.5442532729391</v>
      </c>
      <c r="D7" s="2" t="n">
        <f aca="false">quencher!M29</f>
        <v>24.6977106238394</v>
      </c>
      <c r="E7" s="2" t="n">
        <f aca="false">quencher!N29</f>
        <v>86</v>
      </c>
      <c r="F7" s="2" t="n">
        <f aca="false">quencher!O29</f>
        <v>2124.00311365019</v>
      </c>
      <c r="G7" s="2" t="n">
        <f aca="false">quencher!P29</f>
        <v>35</v>
      </c>
      <c r="O7" s="1" t="s">
        <v>25</v>
      </c>
      <c r="P7" s="2" t="n">
        <f aca="false">Q7/$Q$12*100</f>
        <v>10.5458992423717</v>
      </c>
      <c r="Q7" s="2" t="n">
        <f aca="false">D7</f>
        <v>24.6977106238394</v>
      </c>
      <c r="R7" s="2" t="n">
        <f aca="false">E7</f>
        <v>86</v>
      </c>
      <c r="S7" s="2" t="n">
        <f aca="false">F7</f>
        <v>2124.00311365019</v>
      </c>
      <c r="T7" s="2" t="n">
        <f aca="false">S7/$S$12%</f>
        <v>35.035035035035</v>
      </c>
    </row>
    <row r="8" customFormat="false" ht="12.8" hidden="false" customHeight="false" outlineLevel="0" collapsed="false">
      <c r="B8" s="1" t="str">
        <f aca="false">quencher!K30</f>
        <v>MAC</v>
      </c>
      <c r="C8" s="2" t="n">
        <f aca="false">quencher!L30</f>
        <v>0.0740249617528783</v>
      </c>
      <c r="D8" s="2" t="n">
        <f aca="false">quencher!M30</f>
        <v>0.173388009277566</v>
      </c>
      <c r="E8" s="2" t="n">
        <f aca="false">quencher!N30</f>
        <v>70</v>
      </c>
      <c r="F8" s="2" t="n">
        <f aca="false">quencher!O30</f>
        <v>12.1371606494297</v>
      </c>
      <c r="G8" s="2" t="n">
        <f aca="false">quencher!P30</f>
        <v>0.2</v>
      </c>
      <c r="O8" s="1" t="s">
        <v>22</v>
      </c>
      <c r="P8" s="2" t="n">
        <f aca="false">Q8/$Q$12*100</f>
        <v>0.0740365171301199</v>
      </c>
      <c r="Q8" s="2" t="n">
        <f aca="false">D8</f>
        <v>0.173388009277566</v>
      </c>
      <c r="R8" s="2" t="n">
        <f aca="false">E8</f>
        <v>70</v>
      </c>
      <c r="S8" s="2" t="n">
        <f aca="false">F8</f>
        <v>12.1371606494297</v>
      </c>
      <c r="T8" s="2" t="n">
        <f aca="false">S8/$S$12%</f>
        <v>0.2002002002002</v>
      </c>
    </row>
    <row r="9" customFormat="false" ht="12.8" hidden="false" customHeight="false" outlineLevel="0" collapsed="false">
      <c r="B9" s="1" t="str">
        <f aca="false">quencher!K31</f>
        <v>Impurity</v>
      </c>
      <c r="C9" s="2" t="n">
        <f aca="false">quencher!L31</f>
        <v>0.0156076726587394</v>
      </c>
      <c r="D9" s="82" t="n">
        <f aca="false">quencher!M31</f>
        <v>0.0365577127994869</v>
      </c>
      <c r="E9" s="2" t="n">
        <f aca="false">quencher!N31</f>
        <v>166</v>
      </c>
      <c r="F9" s="2" t="n">
        <f aca="false">quencher!O31</f>
        <v>6.06858032471483</v>
      </c>
      <c r="G9" s="2" t="n">
        <f aca="false">quencher!P31</f>
        <v>0.1</v>
      </c>
      <c r="O9" s="1" t="s">
        <v>31</v>
      </c>
      <c r="P9" s="2" t="n">
        <f aca="false">Q9/$Q$12*100</f>
        <v>0.13876183213647</v>
      </c>
      <c r="Q9" s="2" t="n">
        <f aca="false">D10</f>
        <v>0.324969876629466</v>
      </c>
      <c r="R9" s="2" t="n">
        <f aca="false">E10</f>
        <v>72</v>
      </c>
      <c r="S9" s="2" t="n">
        <f aca="false">F10</f>
        <v>23.3978311173215</v>
      </c>
      <c r="T9" s="2" t="n">
        <f aca="false">S9/$S$12%</f>
        <v>0.385942858403079</v>
      </c>
    </row>
    <row r="10" customFormat="false" ht="12.8" hidden="false" customHeight="false" outlineLevel="0" collapsed="false">
      <c r="B10" s="1" t="str">
        <f aca="false">quencher!K32</f>
        <v>acrylic acid</v>
      </c>
      <c r="C10" s="2" t="n">
        <f aca="false">quencher!L32</f>
        <v>0.138740174643935</v>
      </c>
      <c r="D10" s="2" t="n">
        <f aca="false">quencher!M32</f>
        <v>0.324969876629466</v>
      </c>
      <c r="E10" s="2" t="n">
        <f aca="false">quencher!N32</f>
        <v>72</v>
      </c>
      <c r="F10" s="2" t="n">
        <f aca="false">quencher!O32</f>
        <v>23.3978311173215</v>
      </c>
      <c r="G10" s="2" t="n">
        <f aca="false">quencher!P32</f>
        <v>0.385556915544676</v>
      </c>
      <c r="O10" s="1" t="s">
        <v>60</v>
      </c>
      <c r="P10" s="2" t="n">
        <f aca="false">Q10/$Q$12*100</f>
        <v>1.43387226541019</v>
      </c>
      <c r="Q10" s="2" t="n">
        <f aca="false">D11</f>
        <v>3.35802205850448</v>
      </c>
      <c r="R10" s="2" t="n">
        <f aca="false">E11</f>
        <v>60</v>
      </c>
      <c r="S10" s="2" t="n">
        <f aca="false">F11</f>
        <v>201.481323510269</v>
      </c>
      <c r="T10" s="2" t="n">
        <f aca="false">S10/$S$12%</f>
        <v>3.32339683624873</v>
      </c>
    </row>
    <row r="11" customFormat="false" ht="12.8" hidden="false" customHeight="false" outlineLevel="0" collapsed="false">
      <c r="B11" s="1" t="str">
        <f aca="false">quencher!K33</f>
        <v>acetic acid</v>
      </c>
      <c r="C11" s="2" t="n">
        <f aca="false">quencher!L33</f>
        <v>1.43364847132066</v>
      </c>
      <c r="D11" s="2" t="n">
        <f aca="false">quencher!M33</f>
        <v>3.35802205850448</v>
      </c>
      <c r="E11" s="2" t="n">
        <f aca="false">quencher!N33</f>
        <v>60</v>
      </c>
      <c r="F11" s="2" t="n">
        <f aca="false">quencher!O33</f>
        <v>201.481323510269</v>
      </c>
      <c r="G11" s="2" t="n">
        <f aca="false">quencher!P33</f>
        <v>3.32007343941248</v>
      </c>
      <c r="O11" s="1" t="s">
        <v>61</v>
      </c>
      <c r="P11" s="2" t="n">
        <f aca="false">Q11/$Q$12*100</f>
        <v>87.8074301429515</v>
      </c>
      <c r="Q11" s="2" t="n">
        <f aca="false">D12</f>
        <v>205.638461970161</v>
      </c>
      <c r="R11" s="2" t="n">
        <f aca="false">E12</f>
        <v>18</v>
      </c>
      <c r="S11" s="2" t="n">
        <f aca="false">F12</f>
        <v>3701.4923154629</v>
      </c>
      <c r="T11" s="2" t="n">
        <f aca="false">S11/$S$12%</f>
        <v>61.055425070113</v>
      </c>
    </row>
    <row r="12" customFormat="false" ht="12.8" hidden="false" customHeight="false" outlineLevel="0" collapsed="false">
      <c r="B12" s="1" t="str">
        <f aca="false">quencher!K34</f>
        <v>water</v>
      </c>
      <c r="C12" s="2" t="n">
        <f aca="false">quencher!L34</f>
        <v>87.7937254466848</v>
      </c>
      <c r="D12" s="2" t="n">
        <f aca="false">quencher!M34</f>
        <v>205.638461970161</v>
      </c>
      <c r="E12" s="2" t="n">
        <f aca="false">quencher!N34</f>
        <v>18</v>
      </c>
      <c r="F12" s="2" t="n">
        <f aca="false">quencher!O34</f>
        <v>3701.4923154629</v>
      </c>
      <c r="G12" s="2" t="n">
        <f aca="false">quencher!P34</f>
        <v>60.9943696450428</v>
      </c>
      <c r="O12" s="1" t="s">
        <v>17</v>
      </c>
      <c r="Q12" s="2" t="n">
        <f aca="false">SUM(Q7:Q11)</f>
        <v>234.192552538412</v>
      </c>
      <c r="R12" s="2" t="n">
        <f aca="false">E13</f>
        <v>0</v>
      </c>
      <c r="S12" s="2" t="n">
        <f aca="false">SUM(S7:S11)</f>
        <v>6062.51174439011</v>
      </c>
    </row>
    <row r="13" customFormat="false" ht="12.8" hidden="false" customHeight="false" outlineLevel="0" collapsed="false">
      <c r="B13" s="1" t="str">
        <f aca="false">quencher!K35</f>
        <v>Total</v>
      </c>
      <c r="C13" s="2" t="n">
        <f aca="false">quencher!L35</f>
        <v>0</v>
      </c>
      <c r="D13" s="2" t="n">
        <f aca="false">quencher!M35</f>
        <v>234.229110251212</v>
      </c>
      <c r="E13" s="2" t="n">
        <f aca="false">quencher!N35</f>
        <v>0</v>
      </c>
      <c r="F13" s="2" t="n">
        <f aca="false">quencher!O35</f>
        <v>6068.58032471483</v>
      </c>
      <c r="G13" s="2" t="n">
        <f aca="false">quencher!P35</f>
        <v>100</v>
      </c>
    </row>
    <row r="15" customFormat="false" ht="12.8" hidden="false" customHeight="false" outlineLevel="0" collapsed="false">
      <c r="I15" s="1" t="s">
        <v>63</v>
      </c>
      <c r="J15" s="1" t="s">
        <v>10</v>
      </c>
      <c r="K15" s="1" t="s">
        <v>11</v>
      </c>
      <c r="L15" s="1" t="s">
        <v>12</v>
      </c>
      <c r="M15" s="1" t="s">
        <v>13</v>
      </c>
      <c r="N15" s="1" t="s">
        <v>49</v>
      </c>
    </row>
    <row r="16" customFormat="false" ht="12.8" hidden="false" customHeight="false" outlineLevel="0" collapsed="false">
      <c r="I16" s="1" t="s">
        <v>225</v>
      </c>
      <c r="J16" s="1" t="n">
        <v>100</v>
      </c>
      <c r="K16" s="82" t="n">
        <f aca="false">D9</f>
        <v>0.0365577127994869</v>
      </c>
      <c r="L16" s="2" t="n">
        <f aca="false">E9</f>
        <v>166</v>
      </c>
      <c r="M16" s="2" t="n">
        <f aca="false">F9</f>
        <v>6.06858032471483</v>
      </c>
      <c r="N16" s="1" t="n">
        <v>100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1"/>
  <sheetViews>
    <sheetView showFormulas="false" showGridLines="true" showRowColHeaders="true" showZeros="true" rightToLeft="false" tabSelected="false" showOutlineSymbols="true" defaultGridColor="true" view="normal" topLeftCell="A1" colorId="64" zoomScale="103" zoomScaleNormal="103" zoomScalePageLayoutView="100" workbookViewId="0">
      <selection pane="topLeft" activeCell="M19" activeCellId="1" sqref="B17:E31 M19"/>
    </sheetView>
  </sheetViews>
  <sheetFormatPr defaultColWidth="11.53515625" defaultRowHeight="12.8" zeroHeight="false" outlineLevelRow="0" outlineLevelCol="0"/>
  <cols>
    <col collapsed="false" customWidth="true" hidden="false" outlineLevel="0" max="1" min="1" style="1" width="26.23"/>
    <col collapsed="false" customWidth="true" hidden="false" outlineLevel="0" max="2" min="2" style="1" width="19.74"/>
    <col collapsed="false" customWidth="true" hidden="false" outlineLevel="0" max="4" min="4" style="1" width="21.43"/>
    <col collapsed="false" customWidth="true" hidden="false" outlineLevel="0" max="6" min="6" style="1" width="19.56"/>
    <col collapsed="false" customWidth="true" hidden="false" outlineLevel="0" max="7" min="7" style="1" width="17"/>
    <col collapsed="false" customWidth="true" hidden="false" outlineLevel="0" max="10" min="10" style="1" width="13.75"/>
    <col collapsed="false" customWidth="true" hidden="false" outlineLevel="0" max="18" min="18" style="1" width="14.72"/>
  </cols>
  <sheetData>
    <row r="1" customFormat="false" ht="12.8" hidden="false" customHeight="true" outlineLevel="0" collapsed="false">
      <c r="A1" s="11" t="s">
        <v>327</v>
      </c>
      <c r="B1" s="11"/>
      <c r="C1" s="11"/>
      <c r="D1" s="11"/>
      <c r="E1" s="11"/>
      <c r="F1" s="11"/>
      <c r="G1" s="11"/>
      <c r="H1" s="11"/>
      <c r="I1" s="11"/>
      <c r="J1" s="11"/>
    </row>
    <row r="2" customFormat="false" ht="12.8" hidden="false" customHeight="false" outlineLevel="0" collapsed="false">
      <c r="A2" s="11"/>
      <c r="B2" s="11"/>
      <c r="C2" s="11"/>
      <c r="D2" s="11"/>
      <c r="E2" s="11"/>
      <c r="F2" s="11"/>
      <c r="G2" s="11"/>
      <c r="H2" s="11"/>
      <c r="I2" s="11"/>
      <c r="J2" s="11"/>
    </row>
    <row r="3" customFormat="false" ht="12.8" hidden="false" customHeight="false" outlineLevel="0" collapsed="false">
      <c r="A3" s="11"/>
      <c r="B3" s="11"/>
      <c r="C3" s="11"/>
      <c r="D3" s="11"/>
      <c r="E3" s="11"/>
      <c r="F3" s="11"/>
      <c r="G3" s="11"/>
      <c r="H3" s="11"/>
      <c r="I3" s="11"/>
      <c r="J3" s="11"/>
    </row>
    <row r="4" customFormat="false" ht="12.8" hidden="false" customHeight="false" outlineLevel="0" collapsed="false">
      <c r="A4" s="11"/>
      <c r="B4" s="11"/>
      <c r="C4" s="11"/>
      <c r="D4" s="11"/>
      <c r="E4" s="11"/>
      <c r="F4" s="11"/>
      <c r="G4" s="11"/>
      <c r="H4" s="11"/>
      <c r="I4" s="11"/>
      <c r="J4" s="11"/>
    </row>
    <row r="5" customFormat="false" ht="12.8" hidden="false" customHeight="false" outlineLevel="0" collapsed="false">
      <c r="A5" s="11"/>
      <c r="B5" s="11"/>
      <c r="C5" s="11"/>
      <c r="D5" s="11"/>
      <c r="E5" s="11"/>
      <c r="F5" s="11"/>
      <c r="G5" s="11"/>
      <c r="H5" s="11"/>
      <c r="I5" s="11"/>
      <c r="J5" s="11"/>
    </row>
    <row r="6" customFormat="false" ht="12.8" hidden="false" customHeight="false" outlineLevel="0" collapsed="false">
      <c r="A6" s="11"/>
      <c r="B6" s="11"/>
      <c r="C6" s="11"/>
      <c r="D6" s="11"/>
      <c r="E6" s="11"/>
      <c r="F6" s="11"/>
      <c r="G6" s="11"/>
      <c r="H6" s="11"/>
      <c r="I6" s="11"/>
      <c r="J6" s="11"/>
    </row>
    <row r="7" customFormat="false" ht="48.5" hidden="false" customHeight="true" outlineLevel="0" collapsed="false">
      <c r="A7" s="11"/>
      <c r="B7" s="11"/>
      <c r="C7" s="11"/>
      <c r="D7" s="11"/>
      <c r="E7" s="11"/>
      <c r="F7" s="11"/>
      <c r="G7" s="11"/>
      <c r="H7" s="11"/>
      <c r="I7" s="11"/>
      <c r="J7" s="11"/>
    </row>
    <row r="8" customFormat="false" ht="12.8" hidden="false" customHeight="false" outlineLevel="0" collapsed="false">
      <c r="F8" s="2" t="n">
        <f aca="false">2000/E13</f>
        <v>0.941618205334415</v>
      </c>
    </row>
    <row r="10" customFormat="false" ht="12.8" hidden="false" customHeight="false" outlineLevel="0" collapsed="false">
      <c r="A10" s="1" t="s">
        <v>328</v>
      </c>
      <c r="B10" s="5" t="s">
        <v>329</v>
      </c>
    </row>
    <row r="12" customFormat="false" ht="12.8" hidden="false" customHeight="false" outlineLevel="0" collapsed="false">
      <c r="A12" s="1" t="s">
        <v>330</v>
      </c>
      <c r="B12" s="2" t="str">
        <f aca="false">crystallizer!P6</f>
        <v>mol%</v>
      </c>
      <c r="C12" s="2" t="str">
        <f aca="false">crystallizer!Q6</f>
        <v>kmol/h</v>
      </c>
      <c r="D12" s="2" t="str">
        <f aca="false">crystallizer!R6</f>
        <v>mw</v>
      </c>
      <c r="E12" s="2" t="str">
        <f aca="false">crystallizer!S6</f>
        <v>kg/h</v>
      </c>
      <c r="F12" s="2" t="str">
        <f aca="false">crystallizer!T6</f>
        <v>wt%</v>
      </c>
      <c r="G12" s="2" t="s">
        <v>331</v>
      </c>
      <c r="H12" s="5" t="s">
        <v>332</v>
      </c>
      <c r="K12" s="1" t="str">
        <f aca="false">D12</f>
        <v>mw</v>
      </c>
      <c r="L12" s="5" t="s">
        <v>13</v>
      </c>
      <c r="M12" s="5" t="s">
        <v>332</v>
      </c>
      <c r="N12" s="5" t="s">
        <v>333</v>
      </c>
      <c r="R12" s="5"/>
    </row>
    <row r="13" customFormat="false" ht="12.8" hidden="false" customHeight="false" outlineLevel="0" collapsed="false">
      <c r="A13" s="1" t="str">
        <f aca="false">crystallizer!O7</f>
        <v>MAA</v>
      </c>
      <c r="B13" s="2" t="n">
        <f aca="false">crystallizer!P7</f>
        <v>10.5458992423717</v>
      </c>
      <c r="C13" s="2" t="n">
        <f aca="false">crystallizer!Q7</f>
        <v>24.6977106238394</v>
      </c>
      <c r="D13" s="2" t="n">
        <f aca="false">crystallizer!R7</f>
        <v>86</v>
      </c>
      <c r="E13" s="2" t="n">
        <f aca="false">crystallizer!S7</f>
        <v>2124.00311365019</v>
      </c>
      <c r="F13" s="2" t="n">
        <f aca="false">crystallizer!T7</f>
        <v>35.035035035035</v>
      </c>
      <c r="G13" s="82" t="n">
        <f aca="false">1.015</f>
        <v>1.015</v>
      </c>
      <c r="H13" s="2" t="n">
        <f aca="false">E13/G13*0.001</f>
        <v>2.09261390507408</v>
      </c>
      <c r="I13" s="1" t="str">
        <f aca="false">A13</f>
        <v>MAA</v>
      </c>
      <c r="J13" s="2" t="n">
        <f aca="false">C13</f>
        <v>24.6977106238394</v>
      </c>
      <c r="K13" s="2" t="n">
        <f aca="false">D13</f>
        <v>86</v>
      </c>
      <c r="L13" s="2" t="n">
        <f aca="false">J13*K13</f>
        <v>2124.00311365019</v>
      </c>
      <c r="M13" s="2" t="n">
        <f aca="false">L13/G13*0.001</f>
        <v>2.09261390507408</v>
      </c>
      <c r="N13" s="82" t="n">
        <f aca="false">J13/$J$18</f>
        <v>0.105537128437892</v>
      </c>
      <c r="P13" s="1"/>
      <c r="Q13" s="2" t="s">
        <v>334</v>
      </c>
      <c r="R13" s="2" t="n">
        <f aca="false">(300*10^-6)*E18</f>
        <v>1.81875352331703</v>
      </c>
      <c r="S13" s="5" t="s">
        <v>13</v>
      </c>
    </row>
    <row r="14" customFormat="false" ht="12.8" hidden="false" customHeight="false" outlineLevel="0" collapsed="false">
      <c r="A14" s="1" t="str">
        <f aca="false">crystallizer!O8</f>
        <v>MAC</v>
      </c>
      <c r="B14" s="2" t="n">
        <f aca="false">crystallizer!P8</f>
        <v>0.0740365171301199</v>
      </c>
      <c r="C14" s="2" t="n">
        <f aca="false">crystallizer!Q8</f>
        <v>0.173388009277566</v>
      </c>
      <c r="D14" s="2" t="n">
        <f aca="false">crystallizer!R8</f>
        <v>70</v>
      </c>
      <c r="E14" s="2" t="n">
        <f aca="false">crystallizer!S8</f>
        <v>12.1371606494297</v>
      </c>
      <c r="F14" s="2" t="n">
        <f aca="false">crystallizer!T8</f>
        <v>0.2002002002002</v>
      </c>
      <c r="G14" s="82" t="n">
        <v>0.84</v>
      </c>
      <c r="H14" s="2" t="n">
        <f aca="false">E14/G14*0.001</f>
        <v>0.0144490007731305</v>
      </c>
      <c r="I14" s="1" t="str">
        <f aca="false">A14</f>
        <v>MAC</v>
      </c>
      <c r="J14" s="1" t="n">
        <v>0</v>
      </c>
      <c r="K14" s="2" t="n">
        <f aca="false">D14</f>
        <v>70</v>
      </c>
      <c r="L14" s="2" t="n">
        <f aca="false">J14*K14</f>
        <v>0</v>
      </c>
      <c r="M14" s="2" t="n">
        <f aca="false">L14/G14*0.001</f>
        <v>0</v>
      </c>
      <c r="N14" s="82" t="n">
        <f aca="false">J14/$J$18</f>
        <v>0</v>
      </c>
    </row>
    <row r="15" customFormat="false" ht="12.8" hidden="false" customHeight="false" outlineLevel="0" collapsed="false">
      <c r="A15" s="1" t="str">
        <f aca="false">crystallizer!O9</f>
        <v>acrylic acid</v>
      </c>
      <c r="B15" s="2" t="n">
        <f aca="false">crystallizer!P9</f>
        <v>0.13876183213647</v>
      </c>
      <c r="C15" s="2" t="n">
        <f aca="false">crystallizer!Q9</f>
        <v>0.324969876629466</v>
      </c>
      <c r="D15" s="2" t="n">
        <f aca="false">crystallizer!R9</f>
        <v>72</v>
      </c>
      <c r="E15" s="2" t="n">
        <f aca="false">crystallizer!S9</f>
        <v>23.3978311173215</v>
      </c>
      <c r="F15" s="2" t="n">
        <f aca="false">crystallizer!T9</f>
        <v>0.385942858403079</v>
      </c>
      <c r="G15" s="82" t="n">
        <v>1.05</v>
      </c>
      <c r="H15" s="2" t="n">
        <f aca="false">E15/G15*0.001</f>
        <v>0.0222836486831634</v>
      </c>
      <c r="I15" s="1" t="str">
        <f aca="false">A15</f>
        <v>acrylic acid</v>
      </c>
      <c r="J15" s="2" t="n">
        <f aca="false">C15</f>
        <v>0.324969876629466</v>
      </c>
      <c r="K15" s="2" t="n">
        <f aca="false">D15</f>
        <v>72</v>
      </c>
      <c r="L15" s="2" t="n">
        <f aca="false">J15*K15</f>
        <v>23.3978311173215</v>
      </c>
      <c r="M15" s="2" t="n">
        <f aca="false">L15/G15*0.001</f>
        <v>0.0222836486831634</v>
      </c>
      <c r="N15" s="82" t="n">
        <f aca="false">J15/$J$18</f>
        <v>0.00138864642681437</v>
      </c>
    </row>
    <row r="16" customFormat="false" ht="12.8" hidden="false" customHeight="false" outlineLevel="0" collapsed="false">
      <c r="A16" s="1" t="str">
        <f aca="false">crystallizer!O10</f>
        <v>acetic acid</v>
      </c>
      <c r="B16" s="2" t="n">
        <f aca="false">crystallizer!P10</f>
        <v>1.43387226541019</v>
      </c>
      <c r="C16" s="2" t="n">
        <f aca="false">crystallizer!Q10</f>
        <v>3.35802205850448</v>
      </c>
      <c r="D16" s="2" t="n">
        <f aca="false">crystallizer!R10</f>
        <v>60</v>
      </c>
      <c r="E16" s="2" t="n">
        <f aca="false">crystallizer!S10</f>
        <v>201.481323510269</v>
      </c>
      <c r="F16" s="2" t="n">
        <f aca="false">crystallizer!T10</f>
        <v>3.32339683624873</v>
      </c>
      <c r="G16" s="82" t="n">
        <v>1.048</v>
      </c>
      <c r="H16" s="2" t="n">
        <f aca="false">E16/G16*0.001</f>
        <v>0.192253171288424</v>
      </c>
      <c r="I16" s="1" t="str">
        <f aca="false">A16</f>
        <v>acetic acid</v>
      </c>
      <c r="J16" s="2" t="n">
        <f aca="false">C16</f>
        <v>3.35802205850448</v>
      </c>
      <c r="K16" s="2" t="n">
        <f aca="false">D16</f>
        <v>60</v>
      </c>
      <c r="L16" s="2" t="n">
        <f aca="false">J16*K16</f>
        <v>201.481323510269</v>
      </c>
      <c r="M16" s="2" t="n">
        <f aca="false">L16/G16*0.001</f>
        <v>0.192253171288424</v>
      </c>
      <c r="N16" s="82" t="n">
        <f aca="false">J16/$J$18</f>
        <v>0.0143493464104151</v>
      </c>
    </row>
    <row r="17" customFormat="false" ht="12.8" hidden="false" customHeight="false" outlineLevel="0" collapsed="false">
      <c r="A17" s="1" t="str">
        <f aca="false">crystallizer!O11</f>
        <v>water</v>
      </c>
      <c r="B17" s="2" t="n">
        <f aca="false">crystallizer!P11</f>
        <v>87.8074301429515</v>
      </c>
      <c r="C17" s="2" t="n">
        <f aca="false">crystallizer!Q11</f>
        <v>205.638461970161</v>
      </c>
      <c r="D17" s="2" t="n">
        <f aca="false">crystallizer!R11</f>
        <v>18</v>
      </c>
      <c r="E17" s="2" t="n">
        <f aca="false">crystallizer!S11</f>
        <v>3701.4923154629</v>
      </c>
      <c r="F17" s="2" t="n">
        <f aca="false">crystallizer!T11</f>
        <v>61.055425070113</v>
      </c>
      <c r="G17" s="82" t="n">
        <v>1</v>
      </c>
      <c r="H17" s="2" t="n">
        <f aca="false">E17/G17*0.001</f>
        <v>3.7014923154629</v>
      </c>
      <c r="I17" s="1" t="str">
        <f aca="false">A17</f>
        <v>water</v>
      </c>
      <c r="J17" s="2" t="n">
        <f aca="false">C17</f>
        <v>205.638461970161</v>
      </c>
      <c r="K17" s="2" t="n">
        <f aca="false">D17</f>
        <v>18</v>
      </c>
      <c r="L17" s="2" t="n">
        <f aca="false">J17*K17</f>
        <v>3701.4923154629</v>
      </c>
      <c r="M17" s="2" t="n">
        <f aca="false">L17/G17*0.001</f>
        <v>3.7014923154629</v>
      </c>
      <c r="N17" s="82" t="n">
        <f aca="false">J17/$J$18</f>
        <v>0.878724878724879</v>
      </c>
    </row>
    <row r="18" customFormat="false" ht="12.8" hidden="false" customHeight="false" outlineLevel="0" collapsed="false">
      <c r="A18" s="1" t="str">
        <f aca="false">crystallizer!O12</f>
        <v>Total</v>
      </c>
      <c r="B18" s="2"/>
      <c r="C18" s="2" t="n">
        <f aca="false">crystallizer!Q12</f>
        <v>234.192552538412</v>
      </c>
      <c r="D18" s="2"/>
      <c r="E18" s="74" t="n">
        <f aca="false">crystallizer!S12</f>
        <v>6062.51174439011</v>
      </c>
      <c r="F18" s="2" t="n">
        <f aca="false">crystallizer!T12</f>
        <v>0</v>
      </c>
      <c r="G18" s="82"/>
      <c r="H18" s="2" t="n">
        <f aca="false">SUM(H13:H17)</f>
        <v>6.0230920412817</v>
      </c>
      <c r="I18" s="1" t="str">
        <f aca="false">A18</f>
        <v>Total</v>
      </c>
      <c r="J18" s="2" t="n">
        <f aca="false">SUM(J13:J17)</f>
        <v>234.019164529135</v>
      </c>
      <c r="K18" s="2" t="n">
        <f aca="false">D18</f>
        <v>0</v>
      </c>
      <c r="L18" s="2" t="n">
        <f aca="false">SUM(L13:L17)</f>
        <v>6050.37458374068</v>
      </c>
      <c r="M18" s="2" t="n">
        <f aca="false">SUM(M13:M17)</f>
        <v>6.00864304050857</v>
      </c>
      <c r="N18" s="2" t="n">
        <f aca="false">J18/$J$18</f>
        <v>1</v>
      </c>
    </row>
    <row r="19" customFormat="false" ht="12.8" hidden="false" customHeight="false" outlineLevel="0" collapsed="false">
      <c r="L19" s="2" t="n">
        <f aca="false">L18/3600</f>
        <v>1.68065960659463</v>
      </c>
    </row>
    <row r="20" customFormat="false" ht="12.8" hidden="false" customHeight="false" outlineLevel="0" collapsed="false">
      <c r="A20" s="1" t="s">
        <v>335</v>
      </c>
      <c r="B20" s="2" t="n">
        <f aca="false">E18</f>
        <v>6062.51174439011</v>
      </c>
      <c r="E20" s="5" t="s">
        <v>142</v>
      </c>
      <c r="F20" s="1" t="n">
        <v>13</v>
      </c>
      <c r="G20" s="1" t="n">
        <f aca="false">F20+273.15</f>
        <v>286.15</v>
      </c>
    </row>
    <row r="21" customFormat="false" ht="12.8" hidden="false" customHeight="false" outlineLevel="0" collapsed="false">
      <c r="A21" s="1" t="s">
        <v>336</v>
      </c>
      <c r="B21" s="2" t="n">
        <f aca="false">N13</f>
        <v>0.105537128437892</v>
      </c>
      <c r="D21" s="1" t="s">
        <v>337</v>
      </c>
      <c r="F21" s="5"/>
    </row>
    <row r="22" customFormat="false" ht="12.8" hidden="false" customHeight="false" outlineLevel="0" collapsed="false">
      <c r="A22" s="1" t="s">
        <v>338</v>
      </c>
      <c r="D22" s="1" t="s">
        <v>339</v>
      </c>
      <c r="E22" s="1" t="n">
        <f aca="false">0.95</f>
        <v>0.95</v>
      </c>
      <c r="M22" s="1"/>
    </row>
    <row r="23" customFormat="false" ht="12.8" hidden="false" customHeight="false" outlineLevel="0" collapsed="false">
      <c r="A23" s="1" t="s">
        <v>340</v>
      </c>
      <c r="M23" s="5"/>
    </row>
    <row r="24" customFormat="false" ht="12.8" hidden="false" customHeight="false" outlineLevel="0" collapsed="false">
      <c r="M24" s="5"/>
    </row>
    <row r="25" customFormat="false" ht="12.8" hidden="false" customHeight="false" outlineLevel="0" collapsed="false">
      <c r="A25" s="1" t="s">
        <v>329</v>
      </c>
      <c r="B25" s="5" t="s">
        <v>12</v>
      </c>
      <c r="C25" s="1" t="n">
        <v>116</v>
      </c>
      <c r="H25" s="1" t="s">
        <v>341</v>
      </c>
    </row>
    <row r="26" customFormat="false" ht="12.8" hidden="false" customHeight="false" outlineLevel="0" collapsed="false">
      <c r="B26" s="5" t="s">
        <v>342</v>
      </c>
      <c r="C26" s="2" t="n">
        <f aca="false">C27*C25</f>
        <v>4821.85384374937</v>
      </c>
      <c r="D26" s="5" t="s">
        <v>13</v>
      </c>
      <c r="E26" s="5" t="s">
        <v>343</v>
      </c>
      <c r="F26" s="2" t="n">
        <v>0.177493712327789</v>
      </c>
      <c r="H26" s="1" t="s">
        <v>344</v>
      </c>
    </row>
    <row r="27" customFormat="false" ht="12.8" hidden="false" customHeight="false" outlineLevel="0" collapsed="false">
      <c r="B27" s="5" t="s">
        <v>345</v>
      </c>
      <c r="C27" s="2" t="n">
        <f aca="false">C18*F26</f>
        <v>41.5677055495635</v>
      </c>
      <c r="E27" s="5" t="s">
        <v>346</v>
      </c>
      <c r="F27" s="2" t="n">
        <f aca="false">C26/B20</f>
        <v>0.795355794273096</v>
      </c>
      <c r="H27" s="1" t="s">
        <v>347</v>
      </c>
    </row>
    <row r="28" customFormat="false" ht="12.8" hidden="false" customHeight="false" outlineLevel="0" collapsed="false">
      <c r="B28" s="5" t="s">
        <v>331</v>
      </c>
      <c r="C28" s="1" t="n">
        <v>0.88</v>
      </c>
      <c r="D28" s="5" t="s">
        <v>348</v>
      </c>
      <c r="H28" s="1" t="s">
        <v>349</v>
      </c>
    </row>
    <row r="29" customFormat="false" ht="12.8" hidden="false" customHeight="false" outlineLevel="0" collapsed="false">
      <c r="C29" s="2" t="n">
        <f aca="false">C26/C28</f>
        <v>5479.37936789701</v>
      </c>
      <c r="D29" s="5" t="s">
        <v>350</v>
      </c>
    </row>
    <row r="30" customFormat="false" ht="12.8" hidden="false" customHeight="false" outlineLevel="0" collapsed="false">
      <c r="C30" s="2" t="n">
        <f aca="false">C29/1000</f>
        <v>5.47937936789701</v>
      </c>
      <c r="D30" s="5" t="s">
        <v>332</v>
      </c>
      <c r="E30" s="1" t="s">
        <v>351</v>
      </c>
      <c r="F30" s="2" t="n">
        <f aca="false">E13*E22</f>
        <v>2017.80295796768</v>
      </c>
    </row>
    <row r="31" customFormat="false" ht="12.8" hidden="false" customHeight="false" outlineLevel="0" collapsed="false">
      <c r="E31" s="1" t="s">
        <v>352</v>
      </c>
      <c r="F31" s="2" t="n">
        <f aca="false">E13-F30</f>
        <v>106.20015568251</v>
      </c>
      <c r="G31" s="5"/>
      <c r="H31" s="5"/>
    </row>
    <row r="32" customFormat="false" ht="12.8" hidden="false" customHeight="false" outlineLevel="0" collapsed="false">
      <c r="E32" s="5" t="s">
        <v>353</v>
      </c>
      <c r="F32" s="5"/>
    </row>
    <row r="33" customFormat="false" ht="12.8" hidden="false" customHeight="false" outlineLevel="0" collapsed="false">
      <c r="A33" s="1" t="s">
        <v>105</v>
      </c>
      <c r="B33" s="1" t="s">
        <v>354</v>
      </c>
      <c r="C33" s="1" t="s">
        <v>355</v>
      </c>
      <c r="D33" s="1" t="s">
        <v>11</v>
      </c>
      <c r="E33" s="5" t="s">
        <v>57</v>
      </c>
      <c r="F33" s="5" t="s">
        <v>356</v>
      </c>
      <c r="G33" s="1" t="s">
        <v>357</v>
      </c>
      <c r="H33" s="1" t="s">
        <v>11</v>
      </c>
      <c r="I33" s="5" t="s">
        <v>356</v>
      </c>
    </row>
    <row r="34" customFormat="false" ht="12.8" hidden="false" customHeight="false" outlineLevel="0" collapsed="false">
      <c r="A34" s="1" t="s">
        <v>117</v>
      </c>
      <c r="B34" s="1" t="n">
        <v>8</v>
      </c>
      <c r="C34" s="83" t="n">
        <v>0.1442</v>
      </c>
      <c r="D34" s="84" t="n">
        <f aca="false">$D$40*C34</f>
        <v>22.136142</v>
      </c>
      <c r="E34" s="2" t="n">
        <f aca="false">D13</f>
        <v>86</v>
      </c>
      <c r="F34" s="85" t="n">
        <f aca="false">D34*E34</f>
        <v>1903.708212</v>
      </c>
      <c r="G34" s="83" t="n">
        <f aca="false">C34/B34</f>
        <v>0.018025</v>
      </c>
      <c r="H34" s="86" t="n">
        <f aca="false">G34*$H$40</f>
        <v>2.86363175</v>
      </c>
      <c r="I34" s="86" t="n">
        <f aca="false">H34*E34</f>
        <v>246.2723305</v>
      </c>
      <c r="J34" s="5"/>
      <c r="K34" s="5"/>
      <c r="L34" s="5"/>
    </row>
    <row r="35" customFormat="false" ht="12.8" hidden="false" customHeight="false" outlineLevel="0" collapsed="false">
      <c r="A35" s="1" t="s">
        <v>116</v>
      </c>
      <c r="B35" s="1" t="n">
        <v>15</v>
      </c>
      <c r="C35" s="83" t="n">
        <v>0</v>
      </c>
      <c r="D35" s="84" t="n">
        <f aca="false">$D$40*C35</f>
        <v>0</v>
      </c>
      <c r="E35" s="2" t="n">
        <f aca="false">D14</f>
        <v>70</v>
      </c>
      <c r="F35" s="85" t="n">
        <f aca="false">D35*E35</f>
        <v>0</v>
      </c>
      <c r="G35" s="83" t="n">
        <f aca="false">C35/B35</f>
        <v>0</v>
      </c>
      <c r="H35" s="86" t="n">
        <f aca="false">G35*$H$40</f>
        <v>0</v>
      </c>
      <c r="I35" s="86" t="n">
        <f aca="false">H35*E35</f>
        <v>0</v>
      </c>
      <c r="J35" s="2"/>
      <c r="K35" s="2"/>
      <c r="L35" s="2"/>
    </row>
    <row r="36" customFormat="false" ht="12.8" hidden="false" customHeight="false" outlineLevel="0" collapsed="false">
      <c r="A36" s="1" t="s">
        <v>64</v>
      </c>
      <c r="B36" s="1" t="n">
        <v>0.35</v>
      </c>
      <c r="C36" s="1" t="n">
        <v>0.3244</v>
      </c>
      <c r="D36" s="84" t="n">
        <f aca="false">$D$40*C36</f>
        <v>49.798644</v>
      </c>
      <c r="E36" s="2" t="n">
        <v>18</v>
      </c>
      <c r="F36" s="85" t="n">
        <f aca="false">D36*E36</f>
        <v>896.375592</v>
      </c>
      <c r="G36" s="83" t="n">
        <f aca="false">C36/B36</f>
        <v>0.926857142857143</v>
      </c>
      <c r="H36" s="86" t="n">
        <f aca="false">G36*$H$40</f>
        <v>147.249794285714</v>
      </c>
      <c r="I36" s="86" t="n">
        <f aca="false">H36*E36</f>
        <v>2650.49629714286</v>
      </c>
      <c r="J36" s="2"/>
      <c r="K36" s="2"/>
      <c r="L36" s="2"/>
    </row>
    <row r="37" customFormat="false" ht="12.8" hidden="false" customHeight="false" outlineLevel="0" collapsed="false">
      <c r="A37" s="1" t="s">
        <v>223</v>
      </c>
      <c r="B37" s="1" t="n">
        <v>1</v>
      </c>
      <c r="C37" s="83" t="n">
        <v>0.0179</v>
      </c>
      <c r="D37" s="84" t="n">
        <f aca="false">$D$40*C37</f>
        <v>2.747829</v>
      </c>
      <c r="E37" s="2" t="n">
        <f aca="false">D16</f>
        <v>60</v>
      </c>
      <c r="F37" s="85" t="n">
        <f aca="false">D37*E37</f>
        <v>164.86974</v>
      </c>
      <c r="G37" s="83" t="n">
        <f aca="false">C37/B37</f>
        <v>0.0179</v>
      </c>
      <c r="H37" s="86" t="n">
        <f aca="false">G37*$H$40</f>
        <v>2.843773</v>
      </c>
      <c r="I37" s="86" t="n">
        <f aca="false">H37*E37</f>
        <v>170.62638</v>
      </c>
      <c r="J37" s="2"/>
      <c r="K37" s="2"/>
      <c r="L37" s="2"/>
    </row>
    <row r="38" customFormat="false" ht="12.8" hidden="false" customHeight="false" outlineLevel="0" collapsed="false">
      <c r="A38" s="1" t="s">
        <v>31</v>
      </c>
      <c r="B38" s="1" t="n">
        <v>2.5</v>
      </c>
      <c r="C38" s="83" t="n">
        <v>0.0213</v>
      </c>
      <c r="D38" s="84" t="n">
        <f aca="false">$D$40*C38</f>
        <v>3.269763</v>
      </c>
      <c r="E38" s="2" t="n">
        <v>72</v>
      </c>
      <c r="F38" s="85" t="n">
        <f aca="false">D38*E38</f>
        <v>235.422936</v>
      </c>
      <c r="G38" s="83" t="n">
        <f aca="false">C38/B38</f>
        <v>0.00852</v>
      </c>
      <c r="H38" s="86" t="n">
        <f aca="false">G38*$H$40</f>
        <v>1.3535724</v>
      </c>
      <c r="I38" s="86" t="n">
        <f aca="false">H38*E38</f>
        <v>97.4572128</v>
      </c>
      <c r="J38" s="2"/>
      <c r="K38" s="2"/>
      <c r="L38" s="2"/>
    </row>
    <row r="39" customFormat="false" ht="12.8" hidden="false" customHeight="false" outlineLevel="0" collapsed="false">
      <c r="A39" s="1" t="s">
        <v>358</v>
      </c>
      <c r="B39" s="1" t="n">
        <v>850</v>
      </c>
      <c r="C39" s="83" t="n">
        <v>0.4923</v>
      </c>
      <c r="D39" s="84" t="n">
        <f aca="false">$D$40*C39</f>
        <v>75.572973</v>
      </c>
      <c r="E39" s="2" t="n">
        <v>116</v>
      </c>
      <c r="F39" s="85" t="n">
        <f aca="false">D39*E39</f>
        <v>8766.464868</v>
      </c>
      <c r="G39" s="83" t="n">
        <f aca="false">C39/B39</f>
        <v>0.000579176470588235</v>
      </c>
      <c r="H39" s="86" t="n">
        <f aca="false">G39*$H$40</f>
        <v>0.092013765882353</v>
      </c>
      <c r="I39" s="86" t="n">
        <f aca="false">H39*E39</f>
        <v>10.6735968423529</v>
      </c>
      <c r="J39" s="2"/>
      <c r="K39" s="2"/>
      <c r="L39" s="2"/>
    </row>
    <row r="40" customFormat="false" ht="12.8" hidden="false" customHeight="false" outlineLevel="0" collapsed="false">
      <c r="C40" s="2"/>
      <c r="D40" s="1" t="n">
        <v>153.51</v>
      </c>
      <c r="E40" s="2"/>
      <c r="F40" s="2" t="n">
        <f aca="false">SUM(F34:F39)</f>
        <v>11966.841348</v>
      </c>
      <c r="H40" s="2" t="n">
        <v>158.87</v>
      </c>
      <c r="I40" s="2"/>
      <c r="J40" s="2"/>
      <c r="K40" s="2"/>
      <c r="L40" s="2"/>
    </row>
    <row r="41" customFormat="false" ht="12.8" hidden="false" customHeight="false" outlineLevel="0" collapsed="false">
      <c r="H41" s="2"/>
      <c r="I41" s="2"/>
      <c r="J41" s="2"/>
      <c r="K41" s="2"/>
      <c r="L41" s="2"/>
    </row>
    <row r="42" customFormat="false" ht="12.8" hidden="false" customHeight="false" outlineLevel="0" collapsed="false">
      <c r="C42" s="5"/>
      <c r="H42" s="1"/>
    </row>
    <row r="43" customFormat="false" ht="12.8" hidden="false" customHeight="false" outlineLevel="0" collapsed="false">
      <c r="H43" s="1"/>
      <c r="I43" s="1"/>
      <c r="K43" s="1"/>
      <c r="L43" s="1"/>
    </row>
    <row r="44" customFormat="false" ht="12.8" hidden="false" customHeight="false" outlineLevel="0" collapsed="false">
      <c r="B44" s="2"/>
      <c r="C44" s="5"/>
      <c r="H44" s="2"/>
      <c r="I44" s="2"/>
      <c r="J44" s="2"/>
      <c r="K44" s="2"/>
      <c r="L44" s="2"/>
    </row>
    <row r="45" customFormat="false" ht="12.8" hidden="false" customHeight="false" outlineLevel="0" collapsed="false">
      <c r="H45" s="2"/>
      <c r="I45" s="2"/>
      <c r="J45" s="2"/>
      <c r="K45" s="2"/>
      <c r="L45" s="2"/>
    </row>
    <row r="46" customFormat="false" ht="12.8" hidden="false" customHeight="false" outlineLevel="0" collapsed="false">
      <c r="B46" s="87"/>
      <c r="C46" s="2"/>
      <c r="D46" s="87"/>
      <c r="E46" s="2"/>
      <c r="H46" s="68"/>
      <c r="I46" s="1"/>
      <c r="J46" s="2"/>
      <c r="K46" s="2"/>
      <c r="L46" s="2"/>
    </row>
    <row r="47" customFormat="false" ht="12.8" hidden="false" customHeight="false" outlineLevel="0" collapsed="false">
      <c r="B47" s="87"/>
      <c r="C47" s="2"/>
      <c r="D47" s="87"/>
      <c r="E47" s="2"/>
      <c r="H47" s="2"/>
      <c r="I47" s="2"/>
      <c r="J47" s="2"/>
      <c r="K47" s="2"/>
      <c r="L47" s="2"/>
    </row>
    <row r="48" customFormat="false" ht="12.8" hidden="false" customHeight="false" outlineLevel="0" collapsed="false">
      <c r="B48" s="87"/>
      <c r="C48" s="2"/>
      <c r="D48" s="87"/>
      <c r="E48" s="2"/>
      <c r="H48" s="2"/>
      <c r="I48" s="2"/>
      <c r="J48" s="2"/>
      <c r="K48" s="2"/>
      <c r="L48" s="2"/>
    </row>
    <row r="49" customFormat="false" ht="12.8" hidden="false" customHeight="false" outlineLevel="0" collapsed="false">
      <c r="B49" s="87"/>
      <c r="C49" s="2"/>
      <c r="H49" s="2"/>
      <c r="I49" s="2"/>
      <c r="J49" s="2"/>
      <c r="K49" s="2"/>
      <c r="L49" s="2"/>
    </row>
    <row r="50" customFormat="false" ht="12.8" hidden="false" customHeight="false" outlineLevel="0" collapsed="false">
      <c r="C50" s="2"/>
      <c r="H50" s="2"/>
      <c r="J50" s="2"/>
    </row>
    <row r="51" customFormat="false" ht="12.8" hidden="false" customHeight="false" outlineLevel="0" collapsed="false">
      <c r="C51" s="2"/>
    </row>
  </sheetData>
  <mergeCells count="1">
    <mergeCell ref="A1:J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8"/>
  <sheetViews>
    <sheetView showFormulas="false" showGridLines="true" showRowColHeaders="true" showZeros="true" rightToLeft="false" tabSelected="false" showOutlineSymbols="true" defaultGridColor="true" view="normal" topLeftCell="A1" colorId="64" zoomScale="103" zoomScaleNormal="103" zoomScalePageLayoutView="100" workbookViewId="0">
      <selection pane="topLeft" activeCell="C4" activeCellId="1" sqref="B17:E31 C4"/>
    </sheetView>
  </sheetViews>
  <sheetFormatPr defaultColWidth="11.53515625" defaultRowHeight="12.8" zeroHeight="false" outlineLevelRow="0" outlineLevelCol="0"/>
  <sheetData>
    <row r="1" customFormat="false" ht="12.8" hidden="false" customHeight="false" outlineLevel="0" collapsed="false">
      <c r="B1" s="1" t="s">
        <v>359</v>
      </c>
      <c r="C1" s="1"/>
    </row>
    <row r="2" customFormat="false" ht="12.8" hidden="false" customHeight="false" outlineLevel="0" collapsed="false">
      <c r="B2" s="1" t="s">
        <v>261</v>
      </c>
      <c r="C2" s="5" t="s">
        <v>285</v>
      </c>
      <c r="D2" s="5" t="s">
        <v>57</v>
      </c>
      <c r="E2" s="5" t="s">
        <v>360</v>
      </c>
      <c r="F2" s="5" t="s">
        <v>49</v>
      </c>
      <c r="G2" s="5" t="s">
        <v>10</v>
      </c>
      <c r="H2" s="5" t="s">
        <v>361</v>
      </c>
    </row>
    <row r="3" customFormat="false" ht="12.8" hidden="false" customHeight="false" outlineLevel="0" collapsed="false">
      <c r="B3" s="1" t="s">
        <v>25</v>
      </c>
      <c r="C3" s="2" t="n">
        <v>2028.52</v>
      </c>
      <c r="D3" s="2" t="n">
        <v>86</v>
      </c>
      <c r="E3" s="2" t="n">
        <f aca="false">C3/D3</f>
        <v>23.5874418604651</v>
      </c>
      <c r="F3" s="2" t="n">
        <f aca="false">C3/$C$9%</f>
        <v>18.4003141402004</v>
      </c>
      <c r="G3" s="2" t="n">
        <f aca="false">E3/$E$9%</f>
        <v>15.8235018147027</v>
      </c>
      <c r="H3" s="83" t="n">
        <f aca="false">G3/100</f>
        <v>0.158235018147027</v>
      </c>
    </row>
    <row r="4" customFormat="false" ht="12.8" hidden="false" customHeight="false" outlineLevel="0" collapsed="false">
      <c r="B4" s="1" t="s">
        <v>329</v>
      </c>
      <c r="C4" s="2" t="n">
        <v>7800.1</v>
      </c>
      <c r="D4" s="1" t="n">
        <f aca="false">lle!C25</f>
        <v>116</v>
      </c>
      <c r="E4" s="2" t="n">
        <f aca="false">C4/D4</f>
        <v>67.2422413793103</v>
      </c>
      <c r="F4" s="2" t="n">
        <f aca="false">C4/$C$9%</f>
        <v>70.7532044667921</v>
      </c>
      <c r="G4" s="2" t="n">
        <f aca="false">E4/$E$9%</f>
        <v>45.1090768886464</v>
      </c>
      <c r="H4" s="83" t="n">
        <f aca="false">G4/100</f>
        <v>0.451090768886464</v>
      </c>
    </row>
    <row r="5" customFormat="false" ht="12.8" hidden="false" customHeight="false" outlineLevel="0" collapsed="false">
      <c r="B5" s="1" t="s">
        <v>64</v>
      </c>
      <c r="C5" s="2" t="n">
        <v>986.647</v>
      </c>
      <c r="D5" s="1" t="n">
        <v>18</v>
      </c>
      <c r="E5" s="2" t="n">
        <f aca="false">C5/D5</f>
        <v>54.8137222222222</v>
      </c>
      <c r="F5" s="2" t="n">
        <f aca="false">C5/$C$9%</f>
        <v>8.9496848665462</v>
      </c>
      <c r="G5" s="2" t="n">
        <f aca="false">E5/$E$9%</f>
        <v>36.771475185179</v>
      </c>
      <c r="H5" s="83" t="n">
        <f aca="false">G5/100</f>
        <v>0.36771475185179</v>
      </c>
    </row>
    <row r="6" customFormat="false" ht="12.8" hidden="false" customHeight="false" outlineLevel="0" collapsed="false">
      <c r="B6" s="1" t="s">
        <v>362</v>
      </c>
      <c r="C6" s="2" t="n">
        <v>22.57</v>
      </c>
      <c r="D6" s="2" t="n">
        <v>72</v>
      </c>
      <c r="E6" s="2" t="n">
        <f aca="false">C6/D6</f>
        <v>0.313472222222222</v>
      </c>
      <c r="F6" s="2" t="n">
        <f aca="false">C6/$C$9%</f>
        <v>0.204728122051704</v>
      </c>
      <c r="G6" s="2" t="n">
        <f aca="false">E6/$E$9%</f>
        <v>0.210291065327693</v>
      </c>
      <c r="H6" s="83" t="n">
        <f aca="false">G6/100</f>
        <v>0.00210291065327693</v>
      </c>
    </row>
    <row r="7" customFormat="false" ht="12.8" hidden="false" customHeight="false" outlineLevel="0" collapsed="false">
      <c r="B7" s="1" t="s">
        <v>223</v>
      </c>
      <c r="C7" s="2" t="n">
        <v>186.54</v>
      </c>
      <c r="D7" s="2" t="n">
        <v>60</v>
      </c>
      <c r="E7" s="2" t="n">
        <f aca="false">C7/D7</f>
        <v>3.109</v>
      </c>
      <c r="F7" s="2" t="n">
        <f aca="false">C7/$C$9%</f>
        <v>1.69206840440961</v>
      </c>
      <c r="G7" s="2" t="n">
        <f aca="false">E7/$E$9%</f>
        <v>2.08565504614415</v>
      </c>
      <c r="H7" s="83" t="n">
        <f aca="false">G7/100</f>
        <v>0.0208565504614415</v>
      </c>
    </row>
    <row r="8" customFormat="false" ht="12.8" hidden="false" customHeight="false" outlineLevel="0" collapsed="false">
      <c r="B8" s="1" t="s">
        <v>22</v>
      </c>
      <c r="C8" s="2" t="n">
        <f aca="false">lle!E14</f>
        <v>12.1371606494297</v>
      </c>
      <c r="D8" s="2" t="n">
        <v>70</v>
      </c>
      <c r="E8" s="2" t="n">
        <f aca="false">C8/D8</f>
        <v>0.173388009277566</v>
      </c>
      <c r="F8" s="2" t="n">
        <f aca="false">C8/$C$9%</f>
        <v>0.110093846114204</v>
      </c>
      <c r="G8" s="2" t="n">
        <f aca="false">E8/$E$9%</f>
        <v>0.116316364262028</v>
      </c>
      <c r="H8" s="83" t="n">
        <f aca="false">G8/100</f>
        <v>0.00116316364262028</v>
      </c>
    </row>
    <row r="9" customFormat="false" ht="12.8" hidden="false" customHeight="false" outlineLevel="0" collapsed="false">
      <c r="B9" s="1" t="s">
        <v>17</v>
      </c>
      <c r="C9" s="2" t="n">
        <f aca="false">SUM(C3:C7)</f>
        <v>11024.377</v>
      </c>
      <c r="D9" s="2"/>
      <c r="E9" s="2" t="n">
        <f aca="false">SUM(E3:E7)</f>
        <v>149.06587768422</v>
      </c>
      <c r="F9" s="2"/>
      <c r="G9" s="2"/>
      <c r="H9" s="2" t="n">
        <f aca="false">SUM(H3:H8)</f>
        <v>1.00116316364262</v>
      </c>
    </row>
    <row r="10" customFormat="false" ht="12.8" hidden="false" customHeight="false" outlineLevel="0" collapsed="false">
      <c r="B10" s="1"/>
      <c r="C10" s="1"/>
    </row>
    <row r="11" customFormat="false" ht="12.8" hidden="false" customHeight="false" outlineLevel="0" collapsed="false">
      <c r="B11" s="1" t="s">
        <v>363</v>
      </c>
      <c r="C11" s="1" t="s">
        <v>285</v>
      </c>
      <c r="D11" s="1" t="s">
        <v>57</v>
      </c>
      <c r="E11" s="1" t="s">
        <v>360</v>
      </c>
      <c r="F11" s="1" t="s">
        <v>49</v>
      </c>
      <c r="G11" s="1" t="s">
        <v>10</v>
      </c>
    </row>
    <row r="12" customFormat="false" ht="12.8" hidden="false" customHeight="false" outlineLevel="0" collapsed="false">
      <c r="B12" s="1" t="s">
        <v>25</v>
      </c>
      <c r="C12" s="2" t="n">
        <f aca="false">lle!E13-C3</f>
        <v>95.4831136501889</v>
      </c>
      <c r="D12" s="2" t="n">
        <v>86</v>
      </c>
      <c r="E12" s="2" t="n">
        <f aca="false">C12/D12</f>
        <v>1.11026876337429</v>
      </c>
      <c r="F12" s="2" t="n">
        <f aca="false">C12/$C$18%</f>
        <v>-62.4168900471969</v>
      </c>
      <c r="G12" s="2" t="n">
        <f aca="false">E12/$E$18%</f>
        <v>0.944481463969006</v>
      </c>
    </row>
    <row r="13" customFormat="false" ht="12.8" hidden="false" customHeight="false" outlineLevel="0" collapsed="false">
      <c r="B13" s="1" t="s">
        <v>329</v>
      </c>
      <c r="C13" s="2" t="n">
        <f aca="false">lle!C26-C4</f>
        <v>-2978.24615625063</v>
      </c>
      <c r="D13" s="2" t="n">
        <f aca="false">D3</f>
        <v>86</v>
      </c>
      <c r="E13" s="2" t="n">
        <f aca="false">C13/D13</f>
        <v>-34.6307692587283</v>
      </c>
      <c r="F13" s="2" t="n">
        <f aca="false">C13/$C$18%</f>
        <v>1946.86636999729</v>
      </c>
      <c r="G13" s="2" t="n">
        <f aca="false">E13/$E$18%</f>
        <v>-29.4596414191201</v>
      </c>
    </row>
    <row r="14" customFormat="false" ht="12.8" hidden="false" customHeight="false" outlineLevel="0" collapsed="false">
      <c r="B14" s="1" t="s">
        <v>64</v>
      </c>
      <c r="C14" s="68" t="n">
        <f aca="false">lle!E17-C5</f>
        <v>2714.8453154629</v>
      </c>
      <c r="D14" s="1" t="n">
        <v>18</v>
      </c>
      <c r="E14" s="2" t="n">
        <f aca="false">C14/D14</f>
        <v>150.824739747939</v>
      </c>
      <c r="F14" s="2" t="n">
        <f aca="false">C14/$C$18%</f>
        <v>-1774.6824027042</v>
      </c>
      <c r="G14" s="2" t="n">
        <f aca="false">E14/$E$18%</f>
        <v>128.303322311748</v>
      </c>
    </row>
    <row r="15" customFormat="false" ht="12.8" hidden="false" customHeight="false" outlineLevel="0" collapsed="false">
      <c r="B15" s="1" t="s">
        <v>362</v>
      </c>
      <c r="C15" s="2" t="n">
        <v>0</v>
      </c>
      <c r="D15" s="2" t="n">
        <v>72</v>
      </c>
      <c r="E15" s="2" t="n">
        <f aca="false">C15/D15</f>
        <v>0</v>
      </c>
      <c r="F15" s="2" t="n">
        <f aca="false">C15/$C$18%</f>
        <v>-0</v>
      </c>
      <c r="G15" s="2" t="n">
        <f aca="false">E15/$E$18%</f>
        <v>0</v>
      </c>
    </row>
    <row r="16" customFormat="false" ht="12.8" hidden="false" customHeight="false" outlineLevel="0" collapsed="false">
      <c r="B16" s="1" t="s">
        <v>223</v>
      </c>
      <c r="C16" s="2" t="n">
        <f aca="false">lle!E16-C7</f>
        <v>14.9413235102689</v>
      </c>
      <c r="D16" s="2" t="n">
        <v>60</v>
      </c>
      <c r="E16" s="2" t="n">
        <f aca="false">C16/D16</f>
        <v>0.249022058504481</v>
      </c>
      <c r="F16" s="2" t="n">
        <f aca="false">C16/$C$18%</f>
        <v>-9.76707724589587</v>
      </c>
      <c r="G16" s="2" t="n">
        <f aca="false">E16/$E$18%</f>
        <v>0.211837643402743</v>
      </c>
    </row>
    <row r="17" customFormat="false" ht="12.8" hidden="false" customHeight="false" outlineLevel="0" collapsed="false">
      <c r="B17" s="1" t="s">
        <v>22</v>
      </c>
      <c r="C17" s="2" t="n">
        <f aca="false">0</f>
        <v>0</v>
      </c>
      <c r="D17" s="2" t="n">
        <v>70</v>
      </c>
      <c r="E17" s="2" t="n">
        <f aca="false">C17/D17</f>
        <v>0</v>
      </c>
      <c r="F17" s="2" t="n">
        <f aca="false">C17/$C$18%</f>
        <v>-0</v>
      </c>
      <c r="G17" s="2" t="n">
        <f aca="false">E17/$E$18%</f>
        <v>0</v>
      </c>
    </row>
    <row r="18" customFormat="false" ht="12.8" hidden="false" customHeight="false" outlineLevel="0" collapsed="false">
      <c r="B18" s="1" t="s">
        <v>17</v>
      </c>
      <c r="C18" s="2" t="n">
        <f aca="false">SUM(C12:C17)</f>
        <v>-152.97640362727</v>
      </c>
      <c r="E18" s="2" t="n">
        <f aca="false">SUM(E12:E17)</f>
        <v>117.55326131109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1"/>
  <sheetViews>
    <sheetView showFormulas="false" showGridLines="true" showRowColHeaders="true" showZeros="true" rightToLeft="false" tabSelected="false" showOutlineSymbols="true" defaultGridColor="true" view="normal" topLeftCell="E1" colorId="64" zoomScale="103" zoomScaleNormal="103" zoomScalePageLayoutView="100" workbookViewId="0">
      <selection pane="topLeft" activeCell="AK52" activeCellId="1" sqref="B17:E31 AK52"/>
    </sheetView>
  </sheetViews>
  <sheetFormatPr defaultColWidth="11.53515625" defaultRowHeight="12.8" zeroHeight="false" outlineLevelRow="0" outlineLevelCol="0"/>
  <cols>
    <col collapsed="false" customWidth="true" hidden="false" outlineLevel="0" max="2" min="2" style="1" width="13.5"/>
  </cols>
  <sheetData>
    <row r="1" customFormat="false" ht="12.8" hidden="false" customHeight="false" outlineLevel="0" collapsed="false">
      <c r="H1" s="88" t="s">
        <v>364</v>
      </c>
      <c r="I1" s="88"/>
      <c r="J1" s="88"/>
      <c r="K1" s="88"/>
      <c r="L1" s="88"/>
      <c r="M1" s="88"/>
      <c r="N1" s="88"/>
    </row>
    <row r="2" customFormat="false" ht="12.8" hidden="false" customHeight="false" outlineLevel="0" collapsed="false">
      <c r="H2" s="88"/>
      <c r="I2" s="88"/>
      <c r="J2" s="88"/>
      <c r="K2" s="88"/>
      <c r="L2" s="88"/>
      <c r="M2" s="88"/>
      <c r="N2" s="88"/>
    </row>
    <row r="3" customFormat="false" ht="12.8" hidden="false" customHeight="false" outlineLevel="0" collapsed="false">
      <c r="A3" s="89"/>
      <c r="B3" s="90" t="s">
        <v>11</v>
      </c>
      <c r="C3" s="90" t="s">
        <v>57</v>
      </c>
      <c r="D3" s="90" t="s">
        <v>13</v>
      </c>
      <c r="E3" s="90" t="s">
        <v>365</v>
      </c>
      <c r="F3" s="1" t="s">
        <v>331</v>
      </c>
      <c r="G3" s="90" t="s">
        <v>332</v>
      </c>
      <c r="H3" s="90" t="s">
        <v>366</v>
      </c>
      <c r="I3" s="90"/>
      <c r="L3" s="89"/>
      <c r="M3" s="90" t="s">
        <v>11</v>
      </c>
      <c r="N3" s="90" t="s">
        <v>57</v>
      </c>
      <c r="O3" s="90" t="s">
        <v>13</v>
      </c>
      <c r="P3" s="90" t="s">
        <v>365</v>
      </c>
      <c r="Q3" s="5" t="s">
        <v>332</v>
      </c>
      <c r="R3" s="68" t="s">
        <v>367</v>
      </c>
    </row>
    <row r="4" customFormat="false" ht="12.8" hidden="false" customHeight="false" outlineLevel="0" collapsed="false">
      <c r="A4" s="90" t="s">
        <v>368</v>
      </c>
      <c r="B4" s="2" t="n">
        <f aca="false">M5</f>
        <v>0</v>
      </c>
      <c r="C4" s="1" t="n">
        <f aca="false">2*12+4+16</f>
        <v>44</v>
      </c>
      <c r="D4" s="2" t="n">
        <f aca="false">B4*C4</f>
        <v>0</v>
      </c>
      <c r="E4" s="91" t="n">
        <f aca="false">D4/1000</f>
        <v>0</v>
      </c>
      <c r="F4" s="1" t="n">
        <v>0.9</v>
      </c>
      <c r="G4" s="91" t="n">
        <f aca="false">D4/F4</f>
        <v>0</v>
      </c>
      <c r="H4" s="92" t="n">
        <f aca="false">J13/L28</f>
        <v>0.082023242378013</v>
      </c>
      <c r="I4" s="91"/>
      <c r="L4" s="90" t="s">
        <v>369</v>
      </c>
      <c r="M4" s="91"/>
      <c r="N4" s="1" t="n">
        <v>86</v>
      </c>
      <c r="O4" s="2"/>
      <c r="P4" s="93"/>
      <c r="Q4" s="68"/>
      <c r="R4" s="68"/>
    </row>
    <row r="5" customFormat="false" ht="12.8" hidden="false" customHeight="false" outlineLevel="0" collapsed="false">
      <c r="A5" s="90" t="s">
        <v>25</v>
      </c>
      <c r="B5" s="91" t="n">
        <f aca="false">D20</f>
        <v>23.0186046511628</v>
      </c>
      <c r="C5" s="91" t="n">
        <f aca="false">86</f>
        <v>86</v>
      </c>
      <c r="D5" s="91" t="n">
        <f aca="false">B5*C5</f>
        <v>1979.6</v>
      </c>
      <c r="E5" s="91" t="n">
        <f aca="false">D5/1000</f>
        <v>1.9796</v>
      </c>
      <c r="F5" s="1" t="n">
        <v>1010</v>
      </c>
      <c r="G5" s="91" t="n">
        <f aca="false">D5/F5</f>
        <v>1.96</v>
      </c>
      <c r="H5" s="91" t="n">
        <f aca="false">B5*1000/G5</f>
        <v>11744.1860465116</v>
      </c>
      <c r="I5" s="91"/>
      <c r="L5" s="90" t="s">
        <v>370</v>
      </c>
      <c r="M5" s="91"/>
      <c r="N5" s="89" t="n">
        <v>130</v>
      </c>
      <c r="O5" s="91"/>
      <c r="P5" s="91"/>
      <c r="Q5" s="68"/>
      <c r="R5" s="68"/>
    </row>
    <row r="6" customFormat="false" ht="12.8" hidden="false" customHeight="false" outlineLevel="0" collapsed="false">
      <c r="A6" s="1" t="s">
        <v>17</v>
      </c>
      <c r="B6" s="2"/>
      <c r="C6" s="2"/>
      <c r="D6" s="2" t="n">
        <f aca="false">SUM(D4:D5)</f>
        <v>1979.6</v>
      </c>
      <c r="E6" s="2" t="n">
        <f aca="false">SUM(E4:E5)</f>
        <v>1.9796</v>
      </c>
      <c r="F6" s="2"/>
      <c r="L6" s="1" t="s">
        <v>17</v>
      </c>
      <c r="M6" s="2"/>
      <c r="N6" s="2"/>
      <c r="O6" s="2"/>
      <c r="P6" s="2"/>
      <c r="Q6" s="68"/>
    </row>
    <row r="7" customFormat="false" ht="12.8" hidden="false" customHeight="false" outlineLevel="0" collapsed="false">
      <c r="M7" s="1" t="s">
        <v>331</v>
      </c>
      <c r="N7" s="1" t="n">
        <v>1070</v>
      </c>
      <c r="O7" s="1" t="s">
        <v>371</v>
      </c>
    </row>
    <row r="10" customFormat="false" ht="12.8" hidden="false" customHeight="false" outlineLevel="0" collapsed="false">
      <c r="G10" s="1" t="s">
        <v>372</v>
      </c>
      <c r="H10" s="1"/>
      <c r="I10" s="1"/>
      <c r="J10" s="94" t="n">
        <v>0.2</v>
      </c>
    </row>
    <row r="11" customFormat="false" ht="12.8" hidden="false" customHeight="false" outlineLevel="0" collapsed="false">
      <c r="G11" s="1" t="s">
        <v>368</v>
      </c>
      <c r="H11" s="1"/>
      <c r="I11" s="1"/>
      <c r="J11" s="1" t="n">
        <v>1</v>
      </c>
    </row>
    <row r="12" customFormat="false" ht="12.8" hidden="false" customHeight="false" outlineLevel="0" collapsed="false">
      <c r="G12" s="1" t="s">
        <v>142</v>
      </c>
      <c r="H12" s="1"/>
      <c r="I12" s="1"/>
      <c r="J12" s="1" t="n">
        <v>80</v>
      </c>
      <c r="K12" s="1" t="n">
        <f aca="false">J12+273.15</f>
        <v>353.15</v>
      </c>
    </row>
    <row r="13" customFormat="false" ht="12.8" hidden="false" customHeight="false" outlineLevel="0" collapsed="false">
      <c r="G13" s="1" t="s">
        <v>373</v>
      </c>
      <c r="H13" s="1"/>
      <c r="I13" s="1"/>
      <c r="J13" s="1" t="n">
        <f aca="false">60000</f>
        <v>60000</v>
      </c>
    </row>
    <row r="14" customFormat="false" ht="12.8" hidden="false" customHeight="false" outlineLevel="0" collapsed="false">
      <c r="G14" s="1" t="s">
        <v>374</v>
      </c>
      <c r="H14" s="1"/>
      <c r="I14" s="1"/>
      <c r="J14" s="1" t="n">
        <f aca="false">[1]Sheet5!G14</f>
        <v>-75.06</v>
      </c>
      <c r="K14" s="1" t="s">
        <v>375</v>
      </c>
    </row>
    <row r="15" customFormat="false" ht="12.8" hidden="false" customHeight="false" outlineLevel="0" collapsed="false">
      <c r="A15" s="95" t="s">
        <v>370</v>
      </c>
      <c r="B15" s="95" t="n">
        <v>20000</v>
      </c>
      <c r="C15" s="95" t="s">
        <v>51</v>
      </c>
    </row>
    <row r="16" customFormat="false" ht="12.8" hidden="false" customHeight="false" outlineLevel="0" collapsed="false">
      <c r="A16" s="5"/>
      <c r="B16" s="95" t="n">
        <f aca="false">B15/8000</f>
        <v>2.5</v>
      </c>
      <c r="C16" s="95" t="s">
        <v>376</v>
      </c>
      <c r="L16" s="1" t="s">
        <v>370</v>
      </c>
      <c r="M16" s="1" t="s">
        <v>25</v>
      </c>
      <c r="N16" s="1" t="s">
        <v>22</v>
      </c>
      <c r="O16" s="1" t="s">
        <v>5</v>
      </c>
    </row>
    <row r="17" customFormat="false" ht="12.8" hidden="false" customHeight="false" outlineLevel="0" collapsed="false">
      <c r="A17" s="5"/>
      <c r="B17" s="96" t="n">
        <f aca="false">B16*1000/130</f>
        <v>19.2307692307692</v>
      </c>
      <c r="C17" s="5" t="s">
        <v>11</v>
      </c>
      <c r="K17" s="1" t="s">
        <v>377</v>
      </c>
      <c r="L17" s="1" t="n">
        <v>2.5</v>
      </c>
      <c r="M17" s="1" t="n">
        <v>1.66</v>
      </c>
    </row>
    <row r="18" customFormat="false" ht="12.8" hidden="false" customHeight="false" outlineLevel="0" collapsed="false">
      <c r="A18" s="5"/>
      <c r="B18" s="96"/>
      <c r="C18" s="5"/>
      <c r="K18" s="1" t="s">
        <v>378</v>
      </c>
      <c r="L18" s="2" t="n">
        <v>19.2307692307692</v>
      </c>
      <c r="M18" s="1" t="n">
        <v>19.33</v>
      </c>
    </row>
    <row r="19" customFormat="false" ht="23.85" hidden="false" customHeight="false" outlineLevel="0" collapsed="false">
      <c r="A19" s="95" t="s">
        <v>379</v>
      </c>
      <c r="B19" s="97" t="s">
        <v>13</v>
      </c>
      <c r="C19" s="95" t="s">
        <v>57</v>
      </c>
      <c r="D19" s="5" t="s">
        <v>11</v>
      </c>
    </row>
    <row r="20" customFormat="false" ht="12.8" hidden="false" customHeight="false" outlineLevel="0" collapsed="false">
      <c r="A20" s="1" t="s">
        <v>25</v>
      </c>
      <c r="B20" s="1" t="n">
        <v>1979.6</v>
      </c>
      <c r="C20" s="1" t="n">
        <v>86</v>
      </c>
      <c r="D20" s="2" t="n">
        <f aca="false">B20/C20</f>
        <v>23.0186046511628</v>
      </c>
      <c r="K20" s="5" t="s">
        <v>76</v>
      </c>
      <c r="L20" s="5" t="s">
        <v>368</v>
      </c>
    </row>
    <row r="21" customFormat="false" ht="12.8" hidden="false" customHeight="false" outlineLevel="0" collapsed="false">
      <c r="A21" s="1" t="s">
        <v>380</v>
      </c>
      <c r="B21" s="1" t="n">
        <v>0.299999999999997</v>
      </c>
      <c r="C21" s="1" t="n">
        <v>72</v>
      </c>
      <c r="D21" s="2" t="n">
        <f aca="false">B21/C21</f>
        <v>0.00416666666666663</v>
      </c>
      <c r="K21" s="5" t="s">
        <v>381</v>
      </c>
    </row>
    <row r="22" customFormat="false" ht="12.8" hidden="false" customHeight="false" outlineLevel="0" collapsed="false">
      <c r="A22" s="1" t="s">
        <v>382</v>
      </c>
      <c r="B22" s="1" t="n">
        <v>0.900000000000006</v>
      </c>
      <c r="C22" s="1" t="n">
        <v>60</v>
      </c>
      <c r="D22" s="2" t="n">
        <f aca="false">B22/C22</f>
        <v>0.0150000000000001</v>
      </c>
      <c r="K22" s="5" t="s">
        <v>383</v>
      </c>
      <c r="N22" s="5" t="s">
        <v>142</v>
      </c>
      <c r="O22" s="5" t="n">
        <f aca="false">K12</f>
        <v>353.15</v>
      </c>
      <c r="R22" s="5" t="s">
        <v>384</v>
      </c>
      <c r="S22" s="1" t="n">
        <v>133.3224</v>
      </c>
      <c r="T22" s="5" t="s">
        <v>385</v>
      </c>
    </row>
    <row r="23" customFormat="false" ht="12.8" hidden="false" customHeight="false" outlineLevel="0" collapsed="false">
      <c r="A23" s="1" t="s">
        <v>386</v>
      </c>
      <c r="B23" s="1" t="n">
        <v>0.0999999999999943</v>
      </c>
      <c r="C23" s="1" t="n">
        <v>116</v>
      </c>
      <c r="D23" s="2" t="n">
        <f aca="false">B23/C23</f>
        <v>0.000862068965517192</v>
      </c>
      <c r="L23" s="5" t="s">
        <v>73</v>
      </c>
      <c r="M23" s="5" t="s">
        <v>74</v>
      </c>
      <c r="N23" s="5" t="s">
        <v>75</v>
      </c>
      <c r="O23" s="5" t="s">
        <v>152</v>
      </c>
      <c r="P23" s="5" t="s">
        <v>153</v>
      </c>
      <c r="Q23" s="5" t="s">
        <v>387</v>
      </c>
      <c r="R23" s="5" t="s">
        <v>388</v>
      </c>
      <c r="S23" s="5" t="s">
        <v>389</v>
      </c>
      <c r="T23" s="5" t="s">
        <v>390</v>
      </c>
    </row>
    <row r="24" customFormat="false" ht="12.8" hidden="false" customHeight="false" outlineLevel="0" collapsed="false">
      <c r="B24" s="1" t="n">
        <v>1980.9</v>
      </c>
      <c r="D24" s="2" t="n">
        <f aca="false">SUM(D20:D23)</f>
        <v>23.038633386795</v>
      </c>
      <c r="K24" s="5" t="s">
        <v>368</v>
      </c>
      <c r="L24" s="1" t="n">
        <v>39.9235</v>
      </c>
      <c r="M24" s="14" t="n">
        <v>-2359.5</v>
      </c>
      <c r="N24" s="14" t="n">
        <v>-12.517</v>
      </c>
      <c r="O24" s="14" t="n">
        <v>0.0069835</v>
      </c>
      <c r="P24" s="14" t="n">
        <v>-1.1101E-013</v>
      </c>
      <c r="Q24" s="82" t="n">
        <f aca="false">L24+M24/$O$22+N24*LOG10($O$22)+O24*$O$22+P24*$O$22^2</f>
        <v>3.81562067290103</v>
      </c>
      <c r="R24" s="68" t="n">
        <f aca="false">10^Q24</f>
        <v>6540.64642913351</v>
      </c>
      <c r="S24" s="68" t="n">
        <f aca="false">R24*$S$22</f>
        <v>872014.67948351</v>
      </c>
      <c r="T24" s="5" t="s">
        <v>391</v>
      </c>
    </row>
    <row r="25" customFormat="false" ht="12.8" hidden="false" customHeight="false" outlineLevel="0" collapsed="false">
      <c r="K25" s="1" t="s">
        <v>25</v>
      </c>
      <c r="L25" s="1" t="n">
        <v>17.5903</v>
      </c>
      <c r="M25" s="14" t="n">
        <v>-3294</v>
      </c>
      <c r="N25" s="14" t="n">
        <v>-2.593</v>
      </c>
      <c r="O25" s="14" t="n">
        <v>6.4226E-012</v>
      </c>
      <c r="P25" s="5" t="n">
        <f aca="false">-0.0000015429</f>
        <v>-1.5429E-006</v>
      </c>
      <c r="Q25" s="82" t="n">
        <f aca="false">L25+M25/$O$22+N25*LOG10($O$22)+O25*$O$22+P25*$O$22^2</f>
        <v>1.46353787502414</v>
      </c>
      <c r="R25" s="68" t="n">
        <f aca="false">10^Q25</f>
        <v>29.076215234153</v>
      </c>
      <c r="S25" s="68" t="n">
        <f aca="false">R25*$S$22</f>
        <v>3876.51079793384</v>
      </c>
      <c r="T25" s="5" t="s">
        <v>392</v>
      </c>
    </row>
    <row r="27" customFormat="false" ht="12.8" hidden="false" customHeight="false" outlineLevel="0" collapsed="false">
      <c r="K27" s="1" t="s">
        <v>393</v>
      </c>
      <c r="L27" s="1" t="n">
        <f aca="false">0.838862</f>
        <v>0.838862</v>
      </c>
    </row>
    <row r="28" customFormat="false" ht="12.8" hidden="false" customHeight="false" outlineLevel="0" collapsed="false">
      <c r="K28" s="1" t="s">
        <v>394</v>
      </c>
      <c r="L28" s="68" t="n">
        <f aca="false">L27*S24</f>
        <v>731499.978060896</v>
      </c>
      <c r="M28" s="5" t="s">
        <v>395</v>
      </c>
    </row>
    <row r="31" customFormat="false" ht="12.8" hidden="false" customHeight="false" outlineLevel="0" collapsed="false">
      <c r="A31" s="1" t="s">
        <v>396</v>
      </c>
    </row>
    <row r="32" customFormat="false" ht="12.8" hidden="false" customHeight="false" outlineLevel="0" collapsed="false">
      <c r="A32" s="1" t="s">
        <v>397</v>
      </c>
      <c r="B32" s="1" t="s">
        <v>398</v>
      </c>
    </row>
    <row r="33" customFormat="false" ht="12.8" hidden="false" customHeight="false" outlineLevel="0" collapsed="false">
      <c r="A33" s="1" t="s">
        <v>399</v>
      </c>
      <c r="B33" s="1" t="n">
        <v>1.478</v>
      </c>
    </row>
    <row r="34" customFormat="false" ht="12.8" hidden="false" customHeight="false" outlineLevel="0" collapsed="false">
      <c r="A34" s="1" t="s">
        <v>400</v>
      </c>
      <c r="B34" s="1" t="n">
        <v>0.322</v>
      </c>
    </row>
    <row r="35" customFormat="false" ht="12.8" hidden="false" customHeight="false" outlineLevel="0" collapsed="false">
      <c r="A35" s="1" t="s">
        <v>401</v>
      </c>
      <c r="B35" s="1" t="n">
        <v>1.095</v>
      </c>
    </row>
    <row r="36" customFormat="false" ht="12.8" hidden="false" customHeight="false" outlineLevel="0" collapsed="false">
      <c r="A36" s="1" t="s">
        <v>402</v>
      </c>
      <c r="B36" s="1" t="n">
        <v>0.921</v>
      </c>
    </row>
    <row r="38" customFormat="false" ht="12.8" hidden="false" customHeight="false" outlineLevel="0" collapsed="false">
      <c r="A38" s="1" t="s">
        <v>403</v>
      </c>
    </row>
    <row r="39" customFormat="false" ht="12.8" hidden="false" customHeight="false" outlineLevel="0" collapsed="false">
      <c r="B39" s="1" t="s">
        <v>404</v>
      </c>
      <c r="C39" s="1" t="s">
        <v>405</v>
      </c>
    </row>
    <row r="40" customFormat="false" ht="12.8" hidden="false" customHeight="false" outlineLevel="0" collapsed="false">
      <c r="A40" s="1" t="s">
        <v>368</v>
      </c>
      <c r="B40" s="1" t="s">
        <v>406</v>
      </c>
      <c r="C40" s="1" t="s">
        <v>406</v>
      </c>
    </row>
    <row r="41" customFormat="false" ht="12.8" hidden="false" customHeight="false" outlineLevel="0" collapsed="false">
      <c r="A41" s="1" t="s">
        <v>25</v>
      </c>
      <c r="B41" s="1" t="s">
        <v>407</v>
      </c>
      <c r="C41" s="1" t="s">
        <v>408</v>
      </c>
    </row>
    <row r="42" customFormat="false" ht="12.8" hidden="false" customHeight="false" outlineLevel="0" collapsed="false">
      <c r="A42" s="1" t="s">
        <v>370</v>
      </c>
      <c r="B42" s="1" t="n">
        <v>0</v>
      </c>
      <c r="C42" s="1" t="s">
        <v>409</v>
      </c>
    </row>
    <row r="44" customFormat="false" ht="12.8" hidden="false" customHeight="false" outlineLevel="0" collapsed="false">
      <c r="A44" s="1" t="s">
        <v>410</v>
      </c>
      <c r="B44" s="68" t="n">
        <f aca="false">B33*B34*B35*H4*H5*(1-J10)</f>
        <v>401.600520868636</v>
      </c>
      <c r="C44" s="68" t="n">
        <f aca="false">H5*(1-J10)</f>
        <v>9395.3488372093</v>
      </c>
    </row>
    <row r="45" customFormat="false" ht="12.8" hidden="false" customHeight="false" outlineLevel="0" collapsed="false">
      <c r="A45" s="1" t="s">
        <v>411</v>
      </c>
      <c r="B45" s="68" t="n">
        <f aca="false">1+B33*H4+B33*B34*H4*H5*(1-J10)+B36*H5*J10</f>
        <v>2531.15876666638</v>
      </c>
    </row>
    <row r="46" customFormat="false" ht="12.8" hidden="false" customHeight="false" outlineLevel="0" collapsed="false">
      <c r="A46" s="1" t="s">
        <v>397</v>
      </c>
      <c r="B46" s="98" t="n">
        <f aca="false">B44/B45</f>
        <v>0.158662714546965</v>
      </c>
      <c r="C46" s="5" t="s">
        <v>412</v>
      </c>
    </row>
    <row r="47" customFormat="false" ht="12.8" hidden="false" customHeight="false" outlineLevel="0" collapsed="false">
      <c r="A47" s="1" t="s">
        <v>413</v>
      </c>
      <c r="B47" s="68" t="n">
        <f aca="false">B4*1000/60</f>
        <v>0</v>
      </c>
      <c r="C47" s="5" t="s">
        <v>414</v>
      </c>
    </row>
    <row r="48" customFormat="false" ht="12.8" hidden="false" customHeight="false" outlineLevel="0" collapsed="false">
      <c r="A48" s="1" t="s">
        <v>415</v>
      </c>
      <c r="B48" s="68" t="n">
        <f aca="false">B47*(J10)/B46</f>
        <v>0</v>
      </c>
      <c r="C48" s="5" t="s">
        <v>416</v>
      </c>
    </row>
    <row r="49" customFormat="false" ht="12.8" hidden="false" customHeight="false" outlineLevel="0" collapsed="false">
      <c r="A49" s="1" t="s">
        <v>417</v>
      </c>
      <c r="B49" s="1" t="n">
        <v>162.2</v>
      </c>
      <c r="C49" s="1" t="s">
        <v>418</v>
      </c>
    </row>
    <row r="50" customFormat="false" ht="12.8" hidden="false" customHeight="false" outlineLevel="0" collapsed="false">
      <c r="A50" s="1" t="s">
        <v>417</v>
      </c>
      <c r="B50" s="99" t="n">
        <f aca="false">B48*B49</f>
        <v>0</v>
      </c>
      <c r="C50" s="5" t="s">
        <v>419</v>
      </c>
    </row>
    <row r="51" customFormat="false" ht="12.8" hidden="false" customHeight="false" outlineLevel="0" collapsed="false">
      <c r="B51" s="68" t="n">
        <f aca="false">B50/1000</f>
        <v>0</v>
      </c>
      <c r="C51" s="5" t="s">
        <v>420</v>
      </c>
    </row>
  </sheetData>
  <mergeCells count="1">
    <mergeCell ref="H1:N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2381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2025-12-05T11:11:25Z</dcterms:created>
  <dc:creator/>
  <dc:description/>
  <dc:language>en-GB</dc:language>
  <cp:lastModifiedBy/>
  <dcterms:modified xsi:type="dcterms:W3CDTF">2026-04-15T19:43:38Z</dcterms:modified>
  <cp:revision>68</cp:revision>
  <dc:subject/>
  <dc:title/>
</cp:coreProperties>
</file>

<file path=docProps/custom.xml><?xml version="1.0" encoding="utf-8"?>
<Properties xmlns="http://schemas.openxmlformats.org/officeDocument/2006/custom-properties" xmlns:vt="http://schemas.openxmlformats.org/officeDocument/2006/docPropsVTypes"/>
</file>